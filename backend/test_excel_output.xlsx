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Department KPI Analytics" sheetId="2" state="visible" r:id="rId2"/>
    <sheet xmlns:r="http://schemas.openxmlformats.org/officeDocument/2006/relationships" name="Monthly Learning Summary" sheetId="3" state="visible" r:id="rId3"/>
    <sheet xmlns:r="http://schemas.openxmlformats.org/officeDocument/2006/relationships" name="Training Attendance Summary" sheetId="4" state="visible" r:id="rId4"/>
    <sheet xmlns:r="http://schemas.openxmlformats.org/officeDocument/2006/relationships" name="Raw_Attendance_Data" sheetId="5" state="hidden" r:id="rId5"/>
    <sheet xmlns:r="http://schemas.openxmlformats.org/officeDocument/2006/relationships" name="Employee_KPI_Summary" sheetId="6" state="hidden" r:id="rId6"/>
    <sheet xmlns:r="http://schemas.openxmlformats.org/officeDocument/2006/relationships" name="Filter_Lists" sheetId="7" state="hidden" r:id="rId7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2" fillId="9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5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3" fontId="15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3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1" fillId="2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name val="Segoe UI"/>
        <b val="1"/>
        <color rgb="00065F46"/>
        <sz val="9"/>
      </font>
      <fill>
        <patternFill patternType="solid">
          <fgColor rgb="00D1FAE5"/>
        </patternFill>
      </fill>
    </dxf>
    <dxf>
      <font>
        <name val="Segoe UI"/>
        <b val="1"/>
        <color rgb="00385723"/>
        <sz val="9"/>
      </font>
      <fill>
        <patternFill patternType="solid">
          <fgColor rgb="00E2F0D9"/>
        </patternFill>
      </fill>
    </dxf>
    <dxf>
      <font>
        <name val="Segoe UI"/>
        <b val="1"/>
        <color rgb="007F6000"/>
        <sz val="9"/>
      </font>
      <fill>
        <patternFill patternType="solid">
          <fgColor rgb="00FFF2CC"/>
        </patternFill>
      </fill>
    </dxf>
    <dxf>
      <font>
        <name val="Segoe UI"/>
        <b val="1"/>
        <color rgb="00C65911"/>
        <sz val="9"/>
      </font>
      <fill>
        <patternFill patternType="solid">
          <fgColor rgb="00FCE4D6"/>
        </patternFill>
      </fill>
    </dxf>
    <dxf>
      <font>
        <name val="Segoe UI"/>
        <b val="1"/>
        <color rgb="00991B1B"/>
        <sz val="9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Learning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Hours vs Actual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Analytics'!$D$17:$D$33</f>
            </numRef>
          </val>
        </ser>
        <ser>
          <idx val="1"/>
          <order val="1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Analytics'!$B$39:$B$43</f>
            </numRef>
          </cat>
          <val>
            <numRef>
              <f>'Department KPI Analytics'!$C$39:$C$43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</cols>
  <sheetData>
    <row r="1" ht="36" customHeight="1">
      <c r="A1" s="20" t="inlineStr">
        <is>
          <t>ORGANIZATION LEARNING &amp; KPI ANALYTICS DASHBOARD</t>
        </is>
      </c>
    </row>
    <row r="2" ht="24" customHeight="1">
      <c r="A2" s="21" t="inlineStr">
        <is>
          <t>Executive Overview &amp; Department Contribution Analysis</t>
        </is>
      </c>
    </row>
    <row r="4" ht="24" customHeight="1">
      <c r="A4" s="22" t="inlineStr">
        <is>
          <t>Interactive Filters (Select values to dynamically update the dashboard)</t>
        </is>
      </c>
    </row>
    <row r="5" ht="20" customHeight="1">
      <c r="B5" s="23" t="inlineStr">
        <is>
          <t>Financial Year</t>
        </is>
      </c>
      <c r="C5" s="24" t="n"/>
      <c r="D5" s="23" t="inlineStr">
        <is>
          <t>Quarter</t>
        </is>
      </c>
      <c r="E5" s="23" t="inlineStr">
        <is>
          <t>Month</t>
        </is>
      </c>
      <c r="F5" s="24" t="n"/>
      <c r="G5" s="23" t="inlineStr">
        <is>
          <t>Department</t>
        </is>
      </c>
      <c r="H5" s="24" t="n"/>
      <c r="I5" s="24" t="n"/>
      <c r="J5" s="23" t="inlineStr">
        <is>
          <t>Training Category</t>
        </is>
      </c>
      <c r="K5" s="24" t="n"/>
      <c r="L5" s="24" t="n"/>
    </row>
    <row r="6" ht="24" customHeight="1">
      <c r="B6" s="25" t="inlineStr">
        <is>
          <t>2025-2026</t>
        </is>
      </c>
      <c r="C6" s="24" t="n"/>
      <c r="D6" s="25" t="inlineStr">
        <is>
          <t>All</t>
        </is>
      </c>
      <c r="E6" s="25" t="inlineStr">
        <is>
          <t>All</t>
        </is>
      </c>
      <c r="F6" s="24" t="n"/>
      <c r="G6" s="25" t="inlineStr">
        <is>
          <t>All</t>
        </is>
      </c>
      <c r="H6" s="24" t="n"/>
      <c r="I6" s="24" t="n"/>
      <c r="J6" s="25" t="inlineStr">
        <is>
          <t>All</t>
        </is>
      </c>
      <c r="K6" s="24" t="n"/>
      <c r="L6" s="24" t="n"/>
    </row>
    <row r="10">
      <c r="A10" s="26" t="inlineStr">
        <is>
          <t>TOTAL EMPLOYEES</t>
        </is>
      </c>
      <c r="B10" s="27" t="n"/>
      <c r="C10" s="26" t="inlineStr">
        <is>
          <t>TOTAL TARGET HOURS</t>
        </is>
      </c>
      <c r="D10" s="27" t="n"/>
      <c r="E10" s="26" t="inlineStr">
        <is>
          <t>TOTAL ACTUAL HOURS</t>
        </is>
      </c>
      <c r="F10" s="27" t="n"/>
      <c r="G10" s="26" t="inlineStr">
        <is>
          <t>TOTAL REMAINING HOURS</t>
        </is>
      </c>
      <c r="H10" s="27" t="n"/>
      <c r="I10" s="26" t="inlineStr">
        <is>
          <t>OVERALL ACHIEVEMENT %</t>
        </is>
      </c>
      <c r="J10" s="27" t="n"/>
      <c r="K10" s="27" t="n"/>
      <c r="L10" s="27" t="n"/>
    </row>
    <row r="11">
      <c r="A11" s="28">
        <f>COUNTIFS(Employee_KPI_Summary!$F$6:$F$93, "&gt;0")</f>
        <v/>
      </c>
      <c r="B11" s="27" t="n"/>
      <c r="C11" s="29">
        <f>SUM(Employee_KPI_Summary!$F$6:$F$93)</f>
        <v/>
      </c>
      <c r="D11" s="27" t="n"/>
      <c r="E11" s="29">
        <f>SUM(Employee_KPI_Summary!$G$6:$G$93)</f>
        <v/>
      </c>
      <c r="F11" s="27" t="n"/>
      <c r="G11" s="29">
        <f>SUM(Employee_KPI_Summary!$H$6:$H$93)</f>
        <v/>
      </c>
      <c r="H11" s="27" t="n"/>
      <c r="I11" s="30">
        <f>IF(C11&gt;0, E11/C11, 0)</f>
        <v/>
      </c>
      <c r="J11" s="27" t="n"/>
      <c r="K11" s="27" t="n"/>
      <c r="L11" s="27" t="n"/>
    </row>
    <row r="12">
      <c r="A12" s="26" t="inlineStr">
        <is>
          <t>LEARNING COMPLIANCE %</t>
        </is>
      </c>
      <c r="B12" s="27" t="n"/>
      <c r="C12" s="26" t="inlineStr">
        <is>
          <t>TRAININGS CONDUCTED</t>
        </is>
      </c>
      <c r="D12" s="27" t="n"/>
      <c r="E12" s="26" t="inlineStr">
        <is>
          <t>TOTAL ATTENDANCE %</t>
        </is>
      </c>
      <c r="F12" s="27" t="n"/>
      <c r="G12" s="26" t="inlineStr">
        <is>
          <t>TOP PERFORMING DEPT</t>
        </is>
      </c>
      <c r="H12" s="27" t="n"/>
      <c r="I12" s="26" t="inlineStr">
        <is>
          <t>LOWEST PERFORMING DEPT</t>
        </is>
      </c>
      <c r="J12" s="27" t="n"/>
      <c r="K12" s="27" t="n"/>
      <c r="L12" s="27" t="n"/>
    </row>
    <row r="13">
      <c r="A13" s="30">
        <f>IF(COUNTIFS(Employee_KPI_Summary!$F$6:$F$93, "&gt;0")&gt;0, COUNTIFS(Employee_KPI_Summary!$F$6:$F$93, "&gt;0", Employee_KPI_Summary!$I$6:$I$93, "&gt;=1.0")/COUNTIFS(Employee_KPI_Summary!$F$6:$F$93, "&gt;0"), 1.0)</f>
        <v/>
      </c>
      <c r="B13" s="27" t="n"/>
      <c r="C13" s="28">
        <f>SUM(Raw_Attendance_Data!$P$2:$P$2)</f>
        <v/>
      </c>
      <c r="D13" s="27" t="n"/>
      <c r="E13" s="30">
        <f>IF(SUM(Employee_KPI_Summary!$K$6:$K$93)&gt;0, SUM(Employee_KPI_Summary!$J$6:$J$93)/SUM(Employee_KPI_Summary!$K$6:$K$93), 1.0)</f>
        <v/>
      </c>
      <c r="F13" s="27" t="n"/>
      <c r="G13" s="31">
        <f>INDEX(B17:B33, MATCH(MAX(G17:G33), G17:G33, 0))</f>
        <v/>
      </c>
      <c r="H13" s="27" t="n"/>
      <c r="I13" s="31">
        <f>INDEX(B17:B33, MATCH(MIN(K17:K33), K17:K33, 0))</f>
        <v/>
      </c>
      <c r="J13" s="27" t="n"/>
      <c r="K13" s="27" t="n"/>
      <c r="L13" s="27" t="n"/>
    </row>
    <row r="15" ht="24" customHeight="1">
      <c r="A15" s="32" t="inlineStr">
        <is>
          <t>DEPARTMENT CONTRIBUTION &amp; KPI SUMMARY</t>
        </is>
      </c>
    </row>
    <row r="16" ht="20" customHeight="1">
      <c r="A16" s="33" t="inlineStr">
        <is>
          <t>S.No</t>
        </is>
      </c>
      <c r="B16" s="33" t="inlineStr">
        <is>
          <t>Department</t>
        </is>
      </c>
      <c r="C16" s="33" t="inlineStr">
        <is>
          <t>Employees</t>
        </is>
      </c>
      <c r="D16" s="33" t="inlineStr">
        <is>
          <t>Target Hours</t>
        </is>
      </c>
      <c r="E16" s="33" t="inlineStr">
        <is>
          <t>Actual Hours</t>
        </is>
      </c>
      <c r="F16" s="33" t="inlineStr">
        <is>
          <t>Remaining Hours</t>
        </is>
      </c>
      <c r="G16" s="33" t="inlineStr">
        <is>
          <t>Achievement %</t>
        </is>
      </c>
      <c r="H16" s="33" t="inlineStr">
        <is>
          <t>Attendance %</t>
        </is>
      </c>
      <c r="I16" s="33" t="inlineStr">
        <is>
          <t>KPI Status</t>
        </is>
      </c>
      <c r="J16" s="33" t="inlineStr">
        <is>
          <t>Rank Score</t>
        </is>
      </c>
      <c r="K16" s="33" t="inlineStr">
        <is>
          <t>Filtered Achievement</t>
        </is>
      </c>
    </row>
    <row r="17" ht="20" customHeight="1">
      <c r="A17" s="34">
        <f>ROW() - 16</f>
        <v/>
      </c>
      <c r="B17" s="35" t="inlineStr">
        <is>
          <t>Accounts</t>
        </is>
      </c>
      <c r="C17" s="36">
        <f>COUNTIFS(Employee_KPI_Summary!$D$6:$D$93, B17, Employee_KPI_Summary!$F$6:$F$93, "&gt;0")</f>
        <v/>
      </c>
      <c r="D17" s="37">
        <f>SUMIFS(Employee_KPI_Summary!$F$6:$F$93, Employee_KPI_Summary!$D$6:$D$93, B17)</f>
        <v/>
      </c>
      <c r="E17" s="37">
        <f>SUMIFS(Employee_KPI_Summary!$G$6:$G$93, Employee_KPI_Summary!$D$6:$D$93, B17)</f>
        <v/>
      </c>
      <c r="F17" s="37">
        <f>SUMIFS(Employee_KPI_Summary!$H$6:$H$93, Employee_KPI_Summary!$D$6:$D$93, B17)</f>
        <v/>
      </c>
      <c r="G17" s="38">
        <f>IF(D17&gt;0, E17/D17, 0)</f>
        <v/>
      </c>
      <c r="H17" s="38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39">
        <f>IF(G17&gt;=1.0, "Achieved", IF(G17&gt;=0.75, "Good", IF(G17&gt;=0.5, "Moderate", IF(G17&gt;=0.25, "Low", "Critical"))))</f>
        <v/>
      </c>
      <c r="J17" s="36">
        <f>G17+(1000-ROW())/1000000</f>
        <v/>
      </c>
      <c r="K17" s="36">
        <f>IF(C17&gt;0, G17+ROW()/1000000, 9.99)</f>
        <v/>
      </c>
    </row>
    <row r="18" ht="20" customHeight="1">
      <c r="A18" s="34">
        <f>ROW() - 16</f>
        <v/>
      </c>
      <c r="B18" s="35" t="inlineStr">
        <is>
          <t>Casting</t>
        </is>
      </c>
      <c r="C18" s="36">
        <f>COUNTIFS(Employee_KPI_Summary!$D$6:$D$93, B18, Employee_KPI_Summary!$F$6:$F$93, "&gt;0")</f>
        <v/>
      </c>
      <c r="D18" s="37">
        <f>SUMIFS(Employee_KPI_Summary!$F$6:$F$93, Employee_KPI_Summary!$D$6:$D$93, B18)</f>
        <v/>
      </c>
      <c r="E18" s="37">
        <f>SUMIFS(Employee_KPI_Summary!$G$6:$G$93, Employee_KPI_Summary!$D$6:$D$93, B18)</f>
        <v/>
      </c>
      <c r="F18" s="37">
        <f>SUMIFS(Employee_KPI_Summary!$H$6:$H$93, Employee_KPI_Summary!$D$6:$D$93, B18)</f>
        <v/>
      </c>
      <c r="G18" s="38">
        <f>IF(D18&gt;0, E18/D18, 0)</f>
        <v/>
      </c>
      <c r="H18" s="38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39">
        <f>IF(G18&gt;=1.0, "Achieved", IF(G18&gt;=0.75, "Good", IF(G18&gt;=0.5, "Moderate", IF(G18&gt;=0.25, "Low", "Critical"))))</f>
        <v/>
      </c>
      <c r="J18" s="36">
        <f>G18+(1000-ROW())/1000000</f>
        <v/>
      </c>
      <c r="K18" s="36">
        <f>IF(C18&gt;0, G18+ROW()/1000000, 9.99)</f>
        <v/>
      </c>
    </row>
    <row r="19" ht="20" customHeight="1">
      <c r="A19" s="34">
        <f>ROW() - 16</f>
        <v/>
      </c>
      <c r="B19" s="35" t="inlineStr">
        <is>
          <t>Commercial</t>
        </is>
      </c>
      <c r="C19" s="36">
        <f>COUNTIFS(Employee_KPI_Summary!$D$6:$D$93, B19, Employee_KPI_Summary!$F$6:$F$93, "&gt;0")</f>
        <v/>
      </c>
      <c r="D19" s="37">
        <f>SUMIFS(Employee_KPI_Summary!$F$6:$F$93, Employee_KPI_Summary!$D$6:$D$93, B19)</f>
        <v/>
      </c>
      <c r="E19" s="37">
        <f>SUMIFS(Employee_KPI_Summary!$G$6:$G$93, Employee_KPI_Summary!$D$6:$D$93, B19)</f>
        <v/>
      </c>
      <c r="F19" s="37">
        <f>SUMIFS(Employee_KPI_Summary!$H$6:$H$93, Employee_KPI_Summary!$D$6:$D$93, B19)</f>
        <v/>
      </c>
      <c r="G19" s="38">
        <f>IF(D19&gt;0, E19/D19, 0)</f>
        <v/>
      </c>
      <c r="H19" s="38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39">
        <f>IF(G19&gt;=1.0, "Achieved", IF(G19&gt;=0.75, "Good", IF(G19&gt;=0.5, "Moderate", IF(G19&gt;=0.25, "Low", "Critical"))))</f>
        <v/>
      </c>
      <c r="J19" s="36">
        <f>G19+(1000-ROW())/1000000</f>
        <v/>
      </c>
      <c r="K19" s="36">
        <f>IF(C19&gt;0, G19+ROW()/1000000, 9.99)</f>
        <v/>
      </c>
    </row>
    <row r="20" ht="20" customHeight="1">
      <c r="A20" s="34">
        <f>ROW() - 16</f>
        <v/>
      </c>
      <c r="B20" s="35" t="inlineStr">
        <is>
          <t>CRM</t>
        </is>
      </c>
      <c r="C20" s="36">
        <f>COUNTIFS(Employee_KPI_Summary!$D$6:$D$93, B20, Employee_KPI_Summary!$F$6:$F$93, "&gt;0")</f>
        <v/>
      </c>
      <c r="D20" s="37">
        <f>SUMIFS(Employee_KPI_Summary!$F$6:$F$93, Employee_KPI_Summary!$D$6:$D$93, B20)</f>
        <v/>
      </c>
      <c r="E20" s="37">
        <f>SUMIFS(Employee_KPI_Summary!$G$6:$G$93, Employee_KPI_Summary!$D$6:$D$93, B20)</f>
        <v/>
      </c>
      <c r="F20" s="37">
        <f>SUMIFS(Employee_KPI_Summary!$H$6:$H$93, Employee_KPI_Summary!$D$6:$D$93, B20)</f>
        <v/>
      </c>
      <c r="G20" s="38">
        <f>IF(D20&gt;0, E20/D20, 0)</f>
        <v/>
      </c>
      <c r="H20" s="38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39">
        <f>IF(G20&gt;=1.0, "Achieved", IF(G20&gt;=0.75, "Good", IF(G20&gt;=0.5, "Moderate", IF(G20&gt;=0.25, "Low", "Critical"))))</f>
        <v/>
      </c>
      <c r="J20" s="36">
        <f>G20+(1000-ROW())/1000000</f>
        <v/>
      </c>
      <c r="K20" s="36">
        <f>IF(C20&gt;0, G20+ROW()/1000000, 9.99)</f>
        <v/>
      </c>
    </row>
    <row r="21" ht="20" customHeight="1">
      <c r="A21" s="34">
        <f>ROW() - 16</f>
        <v/>
      </c>
      <c r="B21" s="35" t="inlineStr">
        <is>
          <t>Driver</t>
        </is>
      </c>
      <c r="C21" s="36">
        <f>COUNTIFS(Employee_KPI_Summary!$D$6:$D$93, B21, Employee_KPI_Summary!$F$6:$F$93, "&gt;0")</f>
        <v/>
      </c>
      <c r="D21" s="37">
        <f>SUMIFS(Employee_KPI_Summary!$F$6:$F$93, Employee_KPI_Summary!$D$6:$D$93, B21)</f>
        <v/>
      </c>
      <c r="E21" s="37">
        <f>SUMIFS(Employee_KPI_Summary!$G$6:$G$93, Employee_KPI_Summary!$D$6:$D$93, B21)</f>
        <v/>
      </c>
      <c r="F21" s="37">
        <f>SUMIFS(Employee_KPI_Summary!$H$6:$H$93, Employee_KPI_Summary!$D$6:$D$93, B21)</f>
        <v/>
      </c>
      <c r="G21" s="38">
        <f>IF(D21&gt;0, E21/D21, 0)</f>
        <v/>
      </c>
      <c r="H21" s="38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39">
        <f>IF(G21&gt;=1.0, "Achieved", IF(G21&gt;=0.75, "Good", IF(G21&gt;=0.5, "Moderate", IF(G21&gt;=0.25, "Low", "Critical"))))</f>
        <v/>
      </c>
      <c r="J21" s="36">
        <f>G21+(1000-ROW())/1000000</f>
        <v/>
      </c>
      <c r="K21" s="36">
        <f>IF(C21&gt;0, G21+ROW()/1000000, 9.99)</f>
        <v/>
      </c>
    </row>
    <row r="22" ht="20" customHeight="1">
      <c r="A22" s="34">
        <f>ROW() - 16</f>
        <v/>
      </c>
      <c r="B22" s="35" t="inlineStr">
        <is>
          <t>HR</t>
        </is>
      </c>
      <c r="C22" s="36">
        <f>COUNTIFS(Employee_KPI_Summary!$D$6:$D$93, B22, Employee_KPI_Summary!$F$6:$F$93, "&gt;0")</f>
        <v/>
      </c>
      <c r="D22" s="37">
        <f>SUMIFS(Employee_KPI_Summary!$F$6:$F$93, Employee_KPI_Summary!$D$6:$D$93, B22)</f>
        <v/>
      </c>
      <c r="E22" s="37">
        <f>SUMIFS(Employee_KPI_Summary!$G$6:$G$93, Employee_KPI_Summary!$D$6:$D$93, B22)</f>
        <v/>
      </c>
      <c r="F22" s="37">
        <f>SUMIFS(Employee_KPI_Summary!$H$6:$H$93, Employee_KPI_Summary!$D$6:$D$93, B22)</f>
        <v/>
      </c>
      <c r="G22" s="38">
        <f>IF(D22&gt;0, E22/D22, 0)</f>
        <v/>
      </c>
      <c r="H22" s="38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39">
        <f>IF(G22&gt;=1.0, "Achieved", IF(G22&gt;=0.75, "Good", IF(G22&gt;=0.5, "Moderate", IF(G22&gt;=0.25, "Low", "Critical"))))</f>
        <v/>
      </c>
      <c r="J22" s="36">
        <f>G22+(1000-ROW())/1000000</f>
        <v/>
      </c>
      <c r="K22" s="36">
        <f>IF(C22&gt;0, G22+ROW()/1000000, 9.99)</f>
        <v/>
      </c>
    </row>
    <row r="23" ht="20" customHeight="1">
      <c r="A23" s="34">
        <f>ROW() - 16</f>
        <v/>
      </c>
      <c r="B23" s="35" t="inlineStr">
        <is>
          <t>IT Support</t>
        </is>
      </c>
      <c r="C23" s="36">
        <f>COUNTIFS(Employee_KPI_Summary!$D$6:$D$93, B23, Employee_KPI_Summary!$F$6:$F$93, "&gt;0")</f>
        <v/>
      </c>
      <c r="D23" s="37">
        <f>SUMIFS(Employee_KPI_Summary!$F$6:$F$93, Employee_KPI_Summary!$D$6:$D$93, B23)</f>
        <v/>
      </c>
      <c r="E23" s="37">
        <f>SUMIFS(Employee_KPI_Summary!$G$6:$G$93, Employee_KPI_Summary!$D$6:$D$93, B23)</f>
        <v/>
      </c>
      <c r="F23" s="37">
        <f>SUMIFS(Employee_KPI_Summary!$H$6:$H$93, Employee_KPI_Summary!$D$6:$D$93, B23)</f>
        <v/>
      </c>
      <c r="G23" s="38">
        <f>IF(D23&gt;0, E23/D23, 0)</f>
        <v/>
      </c>
      <c r="H23" s="38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39">
        <f>IF(G23&gt;=1.0, "Achieved", IF(G23&gt;=0.75, "Good", IF(G23&gt;=0.5, "Moderate", IF(G23&gt;=0.25, "Low", "Critical"))))</f>
        <v/>
      </c>
      <c r="J23" s="36">
        <f>G23+(1000-ROW())/1000000</f>
        <v/>
      </c>
      <c r="K23" s="36">
        <f>IF(C23&gt;0, G23+ROW()/1000000, 9.99)</f>
        <v/>
      </c>
    </row>
    <row r="24" ht="20" customHeight="1">
      <c r="A24" s="34">
        <f>ROW() - 16</f>
        <v/>
      </c>
      <c r="B24" s="35" t="inlineStr">
        <is>
          <t>Maintenance</t>
        </is>
      </c>
      <c r="C24" s="36">
        <f>COUNTIFS(Employee_KPI_Summary!$D$6:$D$93, B24, Employee_KPI_Summary!$F$6:$F$93, "&gt;0")</f>
        <v/>
      </c>
      <c r="D24" s="37">
        <f>SUMIFS(Employee_KPI_Summary!$F$6:$F$93, Employee_KPI_Summary!$D$6:$D$93, B24)</f>
        <v/>
      </c>
      <c r="E24" s="37">
        <f>SUMIFS(Employee_KPI_Summary!$G$6:$G$93, Employee_KPI_Summary!$D$6:$D$93, B24)</f>
        <v/>
      </c>
      <c r="F24" s="37">
        <f>SUMIFS(Employee_KPI_Summary!$H$6:$H$93, Employee_KPI_Summary!$D$6:$D$93, B24)</f>
        <v/>
      </c>
      <c r="G24" s="38">
        <f>IF(D24&gt;0, E24/D24, 0)</f>
        <v/>
      </c>
      <c r="H24" s="38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39">
        <f>IF(G24&gt;=1.0, "Achieved", IF(G24&gt;=0.75, "Good", IF(G24&gt;=0.5, "Moderate", IF(G24&gt;=0.25, "Low", "Critical"))))</f>
        <v/>
      </c>
      <c r="J24" s="36">
        <f>G24+(1000-ROW())/1000000</f>
        <v/>
      </c>
      <c r="K24" s="36">
        <f>IF(C24&gt;0, G24+ROW()/1000000, 9.99)</f>
        <v/>
      </c>
    </row>
    <row r="25" ht="20" customHeight="1">
      <c r="A25" s="34">
        <f>ROW() - 16</f>
        <v/>
      </c>
      <c r="B25" s="35" t="inlineStr">
        <is>
          <t>Management</t>
        </is>
      </c>
      <c r="C25" s="36">
        <f>COUNTIFS(Employee_KPI_Summary!$D$6:$D$93, B25, Employee_KPI_Summary!$F$6:$F$93, "&gt;0")</f>
        <v/>
      </c>
      <c r="D25" s="37">
        <f>SUMIFS(Employee_KPI_Summary!$F$6:$F$93, Employee_KPI_Summary!$D$6:$D$93, B25)</f>
        <v/>
      </c>
      <c r="E25" s="37">
        <f>SUMIFS(Employee_KPI_Summary!$G$6:$G$93, Employee_KPI_Summary!$D$6:$D$93, B25)</f>
        <v/>
      </c>
      <c r="F25" s="37">
        <f>SUMIFS(Employee_KPI_Summary!$H$6:$H$93, Employee_KPI_Summary!$D$6:$D$93, B25)</f>
        <v/>
      </c>
      <c r="G25" s="38">
        <f>IF(D25&gt;0, E25/D25, 0)</f>
        <v/>
      </c>
      <c r="H25" s="38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39">
        <f>IF(G25&gt;=1.0, "Achieved", IF(G25&gt;=0.75, "Good", IF(G25&gt;=0.5, "Moderate", IF(G25&gt;=0.25, "Low", "Critical"))))</f>
        <v/>
      </c>
      <c r="J25" s="36">
        <f>G25+(1000-ROW())/1000000</f>
        <v/>
      </c>
      <c r="K25" s="36">
        <f>IF(C25&gt;0, G25+ROW()/1000000, 9.99)</f>
        <v/>
      </c>
    </row>
    <row r="26" ht="20" customHeight="1">
      <c r="A26" s="34">
        <f>ROW() - 16</f>
        <v/>
      </c>
      <c r="B26" s="35" t="inlineStr">
        <is>
          <t>Marketing</t>
        </is>
      </c>
      <c r="C26" s="36">
        <f>COUNTIFS(Employee_KPI_Summary!$D$6:$D$93, B26, Employee_KPI_Summary!$F$6:$F$93, "&gt;0")</f>
        <v/>
      </c>
      <c r="D26" s="37">
        <f>SUMIFS(Employee_KPI_Summary!$F$6:$F$93, Employee_KPI_Summary!$D$6:$D$93, B26)</f>
        <v/>
      </c>
      <c r="E26" s="37">
        <f>SUMIFS(Employee_KPI_Summary!$G$6:$G$93, Employee_KPI_Summary!$D$6:$D$93, B26)</f>
        <v/>
      </c>
      <c r="F26" s="37">
        <f>SUMIFS(Employee_KPI_Summary!$H$6:$H$93, Employee_KPI_Summary!$D$6:$D$93, B26)</f>
        <v/>
      </c>
      <c r="G26" s="38">
        <f>IF(D26&gt;0, E26/D26, 0)</f>
        <v/>
      </c>
      <c r="H26" s="38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39">
        <f>IF(G26&gt;=1.0, "Achieved", IF(G26&gt;=0.75, "Good", IF(G26&gt;=0.5, "Moderate", IF(G26&gt;=0.25, "Low", "Critical"))))</f>
        <v/>
      </c>
      <c r="J26" s="36">
        <f>G26+(1000-ROW())/1000000</f>
        <v/>
      </c>
      <c r="K26" s="36">
        <f>IF(C26&gt;0, G26+ROW()/1000000, 9.99)</f>
        <v/>
      </c>
    </row>
    <row r="27" ht="20" customHeight="1">
      <c r="A27" s="34">
        <f>ROW() - 16</f>
        <v/>
      </c>
      <c r="B27" s="35" t="inlineStr">
        <is>
          <t>NPD</t>
        </is>
      </c>
      <c r="C27" s="36">
        <f>COUNTIFS(Employee_KPI_Summary!$D$6:$D$93, B27, Employee_KPI_Summary!$F$6:$F$93, "&gt;0")</f>
        <v/>
      </c>
      <c r="D27" s="37">
        <f>SUMIFS(Employee_KPI_Summary!$F$6:$F$93, Employee_KPI_Summary!$D$6:$D$93, B27)</f>
        <v/>
      </c>
      <c r="E27" s="37">
        <f>SUMIFS(Employee_KPI_Summary!$G$6:$G$93, Employee_KPI_Summary!$D$6:$D$93, B27)</f>
        <v/>
      </c>
      <c r="F27" s="37">
        <f>SUMIFS(Employee_KPI_Summary!$H$6:$H$93, Employee_KPI_Summary!$D$6:$D$93, B27)</f>
        <v/>
      </c>
      <c r="G27" s="38">
        <f>IF(D27&gt;0, E27/D27, 0)</f>
        <v/>
      </c>
      <c r="H27" s="38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39">
        <f>IF(G27&gt;=1.0, "Achieved", IF(G27&gt;=0.75, "Good", IF(G27&gt;=0.5, "Moderate", IF(G27&gt;=0.25, "Low", "Critical"))))</f>
        <v/>
      </c>
      <c r="J27" s="36">
        <f>G27+(1000-ROW())/1000000</f>
        <v/>
      </c>
      <c r="K27" s="36">
        <f>IF(C27&gt;0, G27+ROW()/1000000, 9.99)</f>
        <v/>
      </c>
    </row>
    <row r="28" ht="20" customHeight="1">
      <c r="A28" s="34">
        <f>ROW() - 16</f>
        <v/>
      </c>
      <c r="B28" s="35" t="inlineStr">
        <is>
          <t>Operations</t>
        </is>
      </c>
      <c r="C28" s="36">
        <f>COUNTIFS(Employee_KPI_Summary!$D$6:$D$93, B28, Employee_KPI_Summary!$F$6:$F$93, "&gt;0")</f>
        <v/>
      </c>
      <c r="D28" s="37">
        <f>SUMIFS(Employee_KPI_Summary!$F$6:$F$93, Employee_KPI_Summary!$D$6:$D$93, B28)</f>
        <v/>
      </c>
      <c r="E28" s="37">
        <f>SUMIFS(Employee_KPI_Summary!$G$6:$G$93, Employee_KPI_Summary!$D$6:$D$93, B28)</f>
        <v/>
      </c>
      <c r="F28" s="37">
        <f>SUMIFS(Employee_KPI_Summary!$H$6:$H$93, Employee_KPI_Summary!$D$6:$D$93, B28)</f>
        <v/>
      </c>
      <c r="G28" s="38">
        <f>IF(D28&gt;0, E28/D28, 0)</f>
        <v/>
      </c>
      <c r="H28" s="38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39">
        <f>IF(G28&gt;=1.0, "Achieved", IF(G28&gt;=0.75, "Good", IF(G28&gt;=0.5, "Moderate", IF(G28&gt;=0.25, "Low", "Critical"))))</f>
        <v/>
      </c>
      <c r="J28" s="36">
        <f>G28+(1000-ROW())/1000000</f>
        <v/>
      </c>
      <c r="K28" s="36">
        <f>IF(C28&gt;0, G28+ROW()/1000000, 9.99)</f>
        <v/>
      </c>
    </row>
    <row r="29" ht="20" customHeight="1">
      <c r="A29" s="34">
        <f>ROW() - 16</f>
        <v/>
      </c>
      <c r="B29" s="35" t="inlineStr">
        <is>
          <t>Purchase Castings</t>
        </is>
      </c>
      <c r="C29" s="36">
        <f>COUNTIFS(Employee_KPI_Summary!$D$6:$D$93, B29, Employee_KPI_Summary!$F$6:$F$93, "&gt;0")</f>
        <v/>
      </c>
      <c r="D29" s="37">
        <f>SUMIFS(Employee_KPI_Summary!$F$6:$F$93, Employee_KPI_Summary!$D$6:$D$93, B29)</f>
        <v/>
      </c>
      <c r="E29" s="37">
        <f>SUMIFS(Employee_KPI_Summary!$G$6:$G$93, Employee_KPI_Summary!$D$6:$D$93, B29)</f>
        <v/>
      </c>
      <c r="F29" s="37">
        <f>SUMIFS(Employee_KPI_Summary!$H$6:$H$93, Employee_KPI_Summary!$D$6:$D$93, B29)</f>
        <v/>
      </c>
      <c r="G29" s="38">
        <f>IF(D29&gt;0, E29/D29, 0)</f>
        <v/>
      </c>
      <c r="H29" s="38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39">
        <f>IF(G29&gt;=1.0, "Achieved", IF(G29&gt;=0.75, "Good", IF(G29&gt;=0.5, "Moderate", IF(G29&gt;=0.25, "Low", "Critical"))))</f>
        <v/>
      </c>
      <c r="J29" s="36">
        <f>G29+(1000-ROW())/1000000</f>
        <v/>
      </c>
      <c r="K29" s="36">
        <f>IF(C29&gt;0, G29+ROW()/1000000, 9.99)</f>
        <v/>
      </c>
    </row>
    <row r="30" ht="20" customHeight="1">
      <c r="A30" s="34">
        <f>ROW() - 16</f>
        <v/>
      </c>
      <c r="B30" s="35" t="inlineStr">
        <is>
          <t>QA</t>
        </is>
      </c>
      <c r="C30" s="36">
        <f>COUNTIFS(Employee_KPI_Summary!$D$6:$D$93, B30, Employee_KPI_Summary!$F$6:$F$93, "&gt;0")</f>
        <v/>
      </c>
      <c r="D30" s="37">
        <f>SUMIFS(Employee_KPI_Summary!$F$6:$F$93, Employee_KPI_Summary!$D$6:$D$93, B30)</f>
        <v/>
      </c>
      <c r="E30" s="37">
        <f>SUMIFS(Employee_KPI_Summary!$G$6:$G$93, Employee_KPI_Summary!$D$6:$D$93, B30)</f>
        <v/>
      </c>
      <c r="F30" s="37">
        <f>SUMIFS(Employee_KPI_Summary!$H$6:$H$93, Employee_KPI_Summary!$D$6:$D$93, B30)</f>
        <v/>
      </c>
      <c r="G30" s="38">
        <f>IF(D30&gt;0, E30/D30, 0)</f>
        <v/>
      </c>
      <c r="H30" s="38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39">
        <f>IF(G30&gt;=1.0, "Achieved", IF(G30&gt;=0.75, "Good", IF(G30&gt;=0.5, "Moderate", IF(G30&gt;=0.25, "Low", "Critical"))))</f>
        <v/>
      </c>
      <c r="J30" s="36">
        <f>G30+(1000-ROW())/1000000</f>
        <v/>
      </c>
      <c r="K30" s="36">
        <f>IF(C30&gt;0, G30+ROW()/1000000, 9.99)</f>
        <v/>
      </c>
    </row>
    <row r="31" ht="20" customHeight="1">
      <c r="A31" s="34">
        <f>ROW() - 16</f>
        <v/>
      </c>
      <c r="B31" s="35" t="inlineStr">
        <is>
          <t>RFQ</t>
        </is>
      </c>
      <c r="C31" s="36">
        <f>COUNTIFS(Employee_KPI_Summary!$D$6:$D$93, B31, Employee_KPI_Summary!$F$6:$F$93, "&gt;0")</f>
        <v/>
      </c>
      <c r="D31" s="37">
        <f>SUMIFS(Employee_KPI_Summary!$F$6:$F$93, Employee_KPI_Summary!$D$6:$D$93, B31)</f>
        <v/>
      </c>
      <c r="E31" s="37">
        <f>SUMIFS(Employee_KPI_Summary!$G$6:$G$93, Employee_KPI_Summary!$D$6:$D$93, B31)</f>
        <v/>
      </c>
      <c r="F31" s="37">
        <f>SUMIFS(Employee_KPI_Summary!$H$6:$H$93, Employee_KPI_Summary!$D$6:$D$93, B31)</f>
        <v/>
      </c>
      <c r="G31" s="38">
        <f>IF(D31&gt;0, E31/D31, 0)</f>
        <v/>
      </c>
      <c r="H31" s="38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39">
        <f>IF(G31&gt;=1.0, "Achieved", IF(G31&gt;=0.75, "Good", IF(G31&gt;=0.5, "Moderate", IF(G31&gt;=0.25, "Low", "Critical"))))</f>
        <v/>
      </c>
      <c r="J31" s="36">
        <f>G31+(1000-ROW())/1000000</f>
        <v/>
      </c>
      <c r="K31" s="36">
        <f>IF(C31&gt;0, G31+ROW()/1000000, 9.99)</f>
        <v/>
      </c>
    </row>
    <row r="32" ht="20" customHeight="1">
      <c r="A32" s="34">
        <f>ROW() - 16</f>
        <v/>
      </c>
      <c r="B32" s="35" t="inlineStr">
        <is>
          <t>Sourcing</t>
        </is>
      </c>
      <c r="C32" s="36">
        <f>COUNTIFS(Employee_KPI_Summary!$D$6:$D$93, B32, Employee_KPI_Summary!$F$6:$F$93, "&gt;0")</f>
        <v/>
      </c>
      <c r="D32" s="37">
        <f>SUMIFS(Employee_KPI_Summary!$F$6:$F$93, Employee_KPI_Summary!$D$6:$D$93, B32)</f>
        <v/>
      </c>
      <c r="E32" s="37">
        <f>SUMIFS(Employee_KPI_Summary!$G$6:$G$93, Employee_KPI_Summary!$D$6:$D$93, B32)</f>
        <v/>
      </c>
      <c r="F32" s="37">
        <f>SUMIFS(Employee_KPI_Summary!$H$6:$H$93, Employee_KPI_Summary!$D$6:$D$93, B32)</f>
        <v/>
      </c>
      <c r="G32" s="38">
        <f>IF(D32&gt;0, E32/D32, 0)</f>
        <v/>
      </c>
      <c r="H32" s="38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39">
        <f>IF(G32&gt;=1.0, "Achieved", IF(G32&gt;=0.75, "Good", IF(G32&gt;=0.5, "Moderate", IF(G32&gt;=0.25, "Low", "Critical"))))</f>
        <v/>
      </c>
      <c r="J32" s="36">
        <f>G32+(1000-ROW())/1000000</f>
        <v/>
      </c>
      <c r="K32" s="36">
        <f>IF(C32&gt;0, G32+ROW()/1000000, 9.99)</f>
        <v/>
      </c>
    </row>
    <row r="33" ht="20" customHeight="1">
      <c r="A33" s="34">
        <f>ROW() - 16</f>
        <v/>
      </c>
      <c r="B33" s="35" t="inlineStr">
        <is>
          <t>Stores</t>
        </is>
      </c>
      <c r="C33" s="36">
        <f>COUNTIFS(Employee_KPI_Summary!$D$6:$D$93, B33, Employee_KPI_Summary!$F$6:$F$93, "&gt;0")</f>
        <v/>
      </c>
      <c r="D33" s="37">
        <f>SUMIFS(Employee_KPI_Summary!$F$6:$F$93, Employee_KPI_Summary!$D$6:$D$93, B33)</f>
        <v/>
      </c>
      <c r="E33" s="37">
        <f>SUMIFS(Employee_KPI_Summary!$G$6:$G$93, Employee_KPI_Summary!$D$6:$D$93, B33)</f>
        <v/>
      </c>
      <c r="F33" s="37">
        <f>SUMIFS(Employee_KPI_Summary!$H$6:$H$93, Employee_KPI_Summary!$D$6:$D$93, B33)</f>
        <v/>
      </c>
      <c r="G33" s="38">
        <f>IF(D33&gt;0, E33/D33, 0)</f>
        <v/>
      </c>
      <c r="H33" s="38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39">
        <f>IF(G33&gt;=1.0, "Achieved", IF(G33&gt;=0.75, "Good", IF(G33&gt;=0.5, "Moderate", IF(G33&gt;=0.25, "Low", "Critical"))))</f>
        <v/>
      </c>
      <c r="J33" s="36">
        <f>G33+(1000-ROW())/1000000</f>
        <v/>
      </c>
      <c r="K33" s="36">
        <f>IF(C33&gt;0, G33+ROW()/1000000, 9.99)</f>
        <v/>
      </c>
    </row>
    <row r="34" ht="22" customHeight="1">
      <c r="A34" s="40" t="inlineStr"/>
      <c r="B34" s="41" t="inlineStr">
        <is>
          <t>Total</t>
        </is>
      </c>
      <c r="C34" s="42">
        <f>SUM(C17:C33)</f>
        <v/>
      </c>
      <c r="D34" s="43">
        <f>SUM(D17:D33)</f>
        <v/>
      </c>
      <c r="E34" s="43">
        <f>SUM(E17:E33)</f>
        <v/>
      </c>
      <c r="F34" s="43">
        <f>SUM(F17:F33)</f>
        <v/>
      </c>
      <c r="G34" s="44">
        <f>IF(D34&gt;0, E34/D34, 0)</f>
        <v/>
      </c>
      <c r="H34" s="44">
        <f>IF(SUM(Employee_KPI_Summary!$K$6:$K$93)&gt;0, SUM(Employee_KPI_Summary!$J$6:$J$93)/SUM(Employee_KPI_Summary!$K$6:$K$93), 1.0)</f>
        <v/>
      </c>
      <c r="I34" s="45">
        <f>IF(G34&gt;=1.0, "Achieved", IF(G34&gt;=0.75, "Good", IF(G34&gt;=0.5, "Moderate", IF(G34&gt;=0.25, "Low", "Critical"))))</f>
        <v/>
      </c>
      <c r="J34" s="40" t="inlineStr"/>
      <c r="K34" s="40" t="inlineStr"/>
    </row>
    <row r="37" ht="22" customHeight="1">
      <c r="A37" s="46" t="inlineStr">
        <is>
          <t>Top Performing Departments</t>
        </is>
      </c>
      <c r="G37" s="47" t="inlineStr">
        <is>
          <t>Departments Requiring Attention</t>
        </is>
      </c>
    </row>
    <row r="38" ht="20" customHeight="1">
      <c r="A38" s="48" t="inlineStr">
        <is>
          <t>Rank</t>
        </is>
      </c>
      <c r="B38" s="48" t="inlineStr">
        <is>
          <t>Department</t>
        </is>
      </c>
      <c r="C38" s="48" t="inlineStr">
        <is>
          <t>Achievement %</t>
        </is>
      </c>
      <c r="D38" s="48" t="inlineStr">
        <is>
          <t>Actual Hours</t>
        </is>
      </c>
      <c r="E38" s="48" t="inlineStr">
        <is>
          <t>Attendance %</t>
        </is>
      </c>
      <c r="G38" s="48" t="inlineStr">
        <is>
          <t>Department</t>
        </is>
      </c>
      <c r="H38" s="48" t="inlineStr">
        <is>
          <t>Remaining Hours</t>
        </is>
      </c>
      <c r="I38" s="48" t="inlineStr">
        <is>
          <t>Compliance %</t>
        </is>
      </c>
      <c r="J38" s="48" t="inlineStr">
        <is>
          <t>Risk Indicator</t>
        </is>
      </c>
    </row>
    <row r="39" ht="20" customHeight="1">
      <c r="A39" s="39" t="n">
        <v>1</v>
      </c>
      <c r="B39" s="35">
        <f>INDEX($B$17:$B$33, MATCH(LARGE($J$17:$J$33, A39), $J$17:$J$33, 0))</f>
        <v/>
      </c>
      <c r="C39" s="38">
        <f>INDEX($G$17:$G$33, MATCH(LARGE($J$17:$J$33, A39), $J$17:$J$33, 0))</f>
        <v/>
      </c>
      <c r="D39" s="37">
        <f>INDEX($E$17:$E$33, MATCH(LARGE($J$17:$J$33, A39), $J$17:$J$33, 0))</f>
        <v/>
      </c>
      <c r="E39" s="38">
        <f>INDEX($H$17:$H$33, MATCH(LARGE($J$17:$J$33, A39), $J$17:$J$33, 0))</f>
        <v/>
      </c>
      <c r="G39" s="35">
        <f>INDEX($B$17:$B$33, MATCH(SMALL($K$17:$K$33, 1), $K$17:$K$33, 0))</f>
        <v/>
      </c>
      <c r="H39" s="37">
        <f>INDEX($F$17:$F$33, MATCH(SMALL($K$17:$K$33, 1), $K$17:$K$33, 0))</f>
        <v/>
      </c>
      <c r="I39" s="38">
        <f>INDEX($G$17:$G$33, MATCH(SMALL($K$17:$K$33, 1), $K$17:$K$33, 0))</f>
        <v/>
      </c>
      <c r="J39" s="39">
        <f>IF(I39&lt;0.5, "🔴 Critical Risk", IF(I39&lt;0.75, "🟡 Moderate Risk", "🟢 Low Risk"))</f>
        <v/>
      </c>
    </row>
    <row r="40" ht="20" customHeight="1">
      <c r="A40" s="39" t="n">
        <v>2</v>
      </c>
      <c r="B40" s="35">
        <f>INDEX($B$17:$B$33, MATCH(LARGE($J$17:$J$33, A40), $J$17:$J$33, 0))</f>
        <v/>
      </c>
      <c r="C40" s="38">
        <f>INDEX($G$17:$G$33, MATCH(LARGE($J$17:$J$33, A40), $J$17:$J$33, 0))</f>
        <v/>
      </c>
      <c r="D40" s="37">
        <f>INDEX($E$17:$E$33, MATCH(LARGE($J$17:$J$33, A40), $J$17:$J$33, 0))</f>
        <v/>
      </c>
      <c r="E40" s="38">
        <f>INDEX($H$17:$H$33, MATCH(LARGE($J$17:$J$33, A40), $J$17:$J$33, 0))</f>
        <v/>
      </c>
      <c r="G40" s="35">
        <f>INDEX($B$17:$B$33, MATCH(SMALL($K$17:$K$33, 2), $K$17:$K$33, 0))</f>
        <v/>
      </c>
      <c r="H40" s="37">
        <f>INDEX($F$17:$F$33, MATCH(SMALL($K$17:$K$33, 2), $K$17:$K$33, 0))</f>
        <v/>
      </c>
      <c r="I40" s="38">
        <f>INDEX($G$17:$G$33, MATCH(SMALL($K$17:$K$33, 2), $K$17:$K$33, 0))</f>
        <v/>
      </c>
      <c r="J40" s="39">
        <f>IF(I40&lt;0.5, "🔴 Critical Risk", IF(I40&lt;0.75, "🟡 Moderate Risk", "🟢 Low Risk"))</f>
        <v/>
      </c>
    </row>
    <row r="41" ht="20" customHeight="1">
      <c r="A41" s="39" t="n">
        <v>3</v>
      </c>
      <c r="B41" s="35">
        <f>INDEX($B$17:$B$33, MATCH(LARGE($J$17:$J$33, A41), $J$17:$J$33, 0))</f>
        <v/>
      </c>
      <c r="C41" s="38">
        <f>INDEX($G$17:$G$33, MATCH(LARGE($J$17:$J$33, A41), $J$17:$J$33, 0))</f>
        <v/>
      </c>
      <c r="D41" s="37">
        <f>INDEX($E$17:$E$33, MATCH(LARGE($J$17:$J$33, A41), $J$17:$J$33, 0))</f>
        <v/>
      </c>
      <c r="E41" s="38">
        <f>INDEX($H$17:$H$33, MATCH(LARGE($J$17:$J$33, A41), $J$17:$J$33, 0))</f>
        <v/>
      </c>
      <c r="G41" s="35">
        <f>INDEX($B$17:$B$33, MATCH(SMALL($K$17:$K$33, 3), $K$17:$K$33, 0))</f>
        <v/>
      </c>
      <c r="H41" s="37">
        <f>INDEX($F$17:$F$33, MATCH(SMALL($K$17:$K$33, 3), $K$17:$K$33, 0))</f>
        <v/>
      </c>
      <c r="I41" s="38">
        <f>INDEX($G$17:$G$33, MATCH(SMALL($K$17:$K$33, 3), $K$17:$K$33, 0))</f>
        <v/>
      </c>
      <c r="J41" s="39">
        <f>IF(I41&lt;0.5, "🔴 Critical Risk", IF(I41&lt;0.75, "🟡 Moderate Risk", "🟢 Low Risk"))</f>
        <v/>
      </c>
    </row>
    <row r="42" ht="20" customHeight="1">
      <c r="A42" s="39" t="n">
        <v>4</v>
      </c>
      <c r="B42" s="35">
        <f>INDEX($B$17:$B$33, MATCH(LARGE($J$17:$J$33, A42), $J$17:$J$33, 0))</f>
        <v/>
      </c>
      <c r="C42" s="38">
        <f>INDEX($G$17:$G$33, MATCH(LARGE($J$17:$J$33, A42), $J$17:$J$33, 0))</f>
        <v/>
      </c>
      <c r="D42" s="37">
        <f>INDEX($E$17:$E$33, MATCH(LARGE($J$17:$J$33, A42), $J$17:$J$33, 0))</f>
        <v/>
      </c>
      <c r="E42" s="38">
        <f>INDEX($H$17:$H$33, MATCH(LARGE($J$17:$J$33, A42), $J$17:$J$33, 0))</f>
        <v/>
      </c>
      <c r="G42" s="35">
        <f>INDEX($B$17:$B$33, MATCH(SMALL($K$17:$K$33, 4), $K$17:$K$33, 0))</f>
        <v/>
      </c>
      <c r="H42" s="37">
        <f>INDEX($F$17:$F$33, MATCH(SMALL($K$17:$K$33, 4), $K$17:$K$33, 0))</f>
        <v/>
      </c>
      <c r="I42" s="38">
        <f>INDEX($G$17:$G$33, MATCH(SMALL($K$17:$K$33, 4), $K$17:$K$33, 0))</f>
        <v/>
      </c>
      <c r="J42" s="39">
        <f>IF(I42&lt;0.5, "🔴 Critical Risk", IF(I42&lt;0.75, "🟡 Moderate Risk", "🟢 Low Risk"))</f>
        <v/>
      </c>
    </row>
    <row r="43" ht="20" customHeight="1">
      <c r="A43" s="39" t="n">
        <v>5</v>
      </c>
      <c r="B43" s="35">
        <f>INDEX($B$17:$B$33, MATCH(LARGE($J$17:$J$33, A43), $J$17:$J$33, 0))</f>
        <v/>
      </c>
      <c r="C43" s="38">
        <f>INDEX($G$17:$G$33, MATCH(LARGE($J$17:$J$33, A43), $J$17:$J$33, 0))</f>
        <v/>
      </c>
      <c r="D43" s="37">
        <f>INDEX($E$17:$E$33, MATCH(LARGE($J$17:$J$33, A43), $J$17:$J$33, 0))</f>
        <v/>
      </c>
      <c r="E43" s="38">
        <f>INDEX($H$17:$H$33, MATCH(LARGE($J$17:$J$33, A43), $J$17:$J$33, 0))</f>
        <v/>
      </c>
      <c r="G43" s="35">
        <f>INDEX($B$17:$B$33, MATCH(SMALL($K$17:$K$33, 5), $K$17:$K$33, 0))</f>
        <v/>
      </c>
      <c r="H43" s="37">
        <f>INDEX($F$17:$F$33, MATCH(SMALL($K$17:$K$33, 5), $K$17:$K$33, 0))</f>
        <v/>
      </c>
      <c r="I43" s="38">
        <f>INDEX($G$17:$G$33, MATCH(SMALL($K$17:$K$33, 5), $K$17:$K$33, 0))</f>
        <v/>
      </c>
      <c r="J43" s="39">
        <f>IF(I43&lt;0.5, "🔴 Critical Risk", IF(I43&lt;0.75, "🟡 Moderate Risk", "🟢 Low Risk"))</f>
        <v/>
      </c>
    </row>
    <row r="46" ht="22" customHeight="1">
      <c r="A46" s="49" t="inlineStr">
        <is>
          <t>Monthly Learning Trends (FY)</t>
        </is>
      </c>
      <c r="G46" s="50" t="inlineStr">
        <is>
          <t>Executive KPI Insights</t>
        </is>
      </c>
    </row>
    <row r="47" ht="20" customHeight="1">
      <c r="A47" s="48" t="inlineStr">
        <is>
          <t>Month</t>
        </is>
      </c>
      <c r="B47" s="48" t="inlineStr">
        <is>
          <t>Target Hours</t>
        </is>
      </c>
      <c r="C47" s="48" t="inlineStr">
        <is>
          <t>Actual Hours</t>
        </is>
      </c>
      <c r="D47" s="48" t="inlineStr">
        <is>
          <t>Achievement %</t>
        </is>
      </c>
    </row>
    <row r="48" ht="24" customHeight="1">
      <c r="A48" s="35" t="inlineStr">
        <is>
          <t>April</t>
        </is>
      </c>
      <c r="B48" s="37">
        <f>$A$11 * 1.33</f>
        <v/>
      </c>
      <c r="C48" s="37">
        <f>SUMIFS(Raw_Attendance_Data!$S$2:$S$2, Raw_Attendance_Data!$I$2:$I$2, A48, Raw_Attendance_Data!$A$2:$A$2, 1)</f>
        <v/>
      </c>
      <c r="D48" s="38">
        <f>IF(B48&gt;0, C48/B48, 0)</f>
        <v/>
      </c>
      <c r="G48" s="51">
        <f>"• " &amp; INDEX(B17:B33, MATCH(MAX(E17:E33), E17:E33, 0)) &amp; " contributed the highest learning hours (" &amp; TEXT(MAX(E17:E33), "#,##0") &amp; " hours)."</f>
        <v/>
      </c>
      <c r="H48" s="52" t="n"/>
      <c r="I48" s="52" t="n"/>
      <c r="J48" s="52" t="n"/>
      <c r="K48" s="52" t="n"/>
    </row>
    <row r="49" ht="24" customHeight="1">
      <c r="A49" s="35" t="inlineStr">
        <is>
          <t>May</t>
        </is>
      </c>
      <c r="B49" s="37">
        <f>$A$11 * 1.33</f>
        <v/>
      </c>
      <c r="C49" s="37">
        <f>SUMIFS(Raw_Attendance_Data!$S$2:$S$2, Raw_Attendance_Data!$I$2:$I$2, A49, Raw_Attendance_Data!$A$2:$A$2, 1)</f>
        <v/>
      </c>
      <c r="D49" s="38">
        <f>IF(B49&gt;0, C49/B49, 0)</f>
        <v/>
      </c>
      <c r="G49" s="51">
        <f>"• " &amp; INDEX(B17:B33, MATCH(MIN(K17:K33), K17:K33, 0)) &amp; " is " &amp; TEXT(MAX(0, 1-MIN(K17:K33)), "0%") &amp; " below annual learning target."</f>
        <v/>
      </c>
      <c r="H49" s="52" t="n"/>
      <c r="I49" s="52" t="n"/>
      <c r="J49" s="52" t="n"/>
      <c r="K49" s="52" t="n"/>
    </row>
    <row r="50" ht="24" customHeight="1">
      <c r="A50" s="35" t="inlineStr">
        <is>
          <t>June</t>
        </is>
      </c>
      <c r="B50" s="37">
        <f>$A$11 * 1.33</f>
        <v/>
      </c>
      <c r="C50" s="37">
        <f>SUMIFS(Raw_Attendance_Data!$S$2:$S$2, Raw_Attendance_Data!$I$2:$I$2, A50, Raw_Attendance_Data!$A$2:$A$2, 1)</f>
        <v/>
      </c>
      <c r="D50" s="38">
        <f>IF(B50&gt;0, C50/B50, 0)</f>
        <v/>
      </c>
      <c r="G50" s="51">
        <f>"• " &amp; INDEX(B17:B33, MATCH(MAX(G17:G33), G17:G33, 0)) &amp; " achieved " &amp; TEXT(MAX(G17:G33), "0.0%") &amp; " learning compliance."</f>
        <v/>
      </c>
      <c r="H50" s="52" t="n"/>
      <c r="I50" s="52" t="n"/>
      <c r="J50" s="52" t="n"/>
      <c r="K50" s="52" t="n"/>
    </row>
    <row r="51" ht="24" customHeight="1">
      <c r="A51" s="35" t="inlineStr">
        <is>
          <t>July</t>
        </is>
      </c>
      <c r="B51" s="37">
        <f>$A$11 * 1.33</f>
        <v/>
      </c>
      <c r="C51" s="37">
        <f>SUMIFS(Raw_Attendance_Data!$S$2:$S$2, Raw_Attendance_Data!$I$2:$I$2, A51, Raw_Attendance_Data!$A$2:$A$2, 1)</f>
        <v/>
      </c>
      <c r="D51" s="38">
        <f>IF(B51&gt;0, C51/B51, 0)</f>
        <v/>
      </c>
      <c r="G51" s="51">
        <f>"• Organization-wide learning compliance stands at " &amp; TEXT(A13, "0.0%") &amp; "."</f>
        <v/>
      </c>
      <c r="H51" s="52" t="n"/>
      <c r="I51" s="52" t="n"/>
      <c r="J51" s="52" t="n"/>
      <c r="K51" s="52" t="n"/>
    </row>
    <row r="52" ht="18" customHeight="1">
      <c r="A52" s="35" t="inlineStr">
        <is>
          <t>August</t>
        </is>
      </c>
      <c r="B52" s="37">
        <f>$A$11 * 1.33</f>
        <v/>
      </c>
      <c r="C52" s="37">
        <f>SUMIFS(Raw_Attendance_Data!$S$2:$S$2, Raw_Attendance_Data!$I$2:$I$2, A52, Raw_Attendance_Data!$A$2:$A$2, 1)</f>
        <v/>
      </c>
      <c r="D52" s="38">
        <f>IF(B52&gt;0, C52/B52, 0)</f>
        <v/>
      </c>
    </row>
    <row r="53" ht="18" customHeight="1">
      <c r="A53" s="35" t="inlineStr">
        <is>
          <t>September</t>
        </is>
      </c>
      <c r="B53" s="37">
        <f>$A$11 * 1.33</f>
        <v/>
      </c>
      <c r="C53" s="37">
        <f>SUMIFS(Raw_Attendance_Data!$S$2:$S$2, Raw_Attendance_Data!$I$2:$I$2, A53, Raw_Attendance_Data!$A$2:$A$2, 1)</f>
        <v/>
      </c>
      <c r="D53" s="38">
        <f>IF(B53&gt;0, C53/B53, 0)</f>
        <v/>
      </c>
    </row>
    <row r="54" ht="18" customHeight="1">
      <c r="A54" s="35" t="inlineStr">
        <is>
          <t>October</t>
        </is>
      </c>
      <c r="B54" s="37">
        <f>$A$11 * 1.33</f>
        <v/>
      </c>
      <c r="C54" s="37">
        <f>SUMIFS(Raw_Attendance_Data!$S$2:$S$2, Raw_Attendance_Data!$I$2:$I$2, A54, Raw_Attendance_Data!$A$2:$A$2, 1)</f>
        <v/>
      </c>
      <c r="D54" s="38">
        <f>IF(B54&gt;0, C54/B54, 0)</f>
        <v/>
      </c>
    </row>
    <row r="55" ht="18" customHeight="1">
      <c r="A55" s="35" t="inlineStr">
        <is>
          <t>November</t>
        </is>
      </c>
      <c r="B55" s="37">
        <f>$A$11 * 1.33</f>
        <v/>
      </c>
      <c r="C55" s="37">
        <f>SUMIFS(Raw_Attendance_Data!$S$2:$S$2, Raw_Attendance_Data!$I$2:$I$2, A55, Raw_Attendance_Data!$A$2:$A$2, 1)</f>
        <v/>
      </c>
      <c r="D55" s="38">
        <f>IF(B55&gt;0, C55/B55, 0)</f>
        <v/>
      </c>
    </row>
    <row r="56" ht="18" customHeight="1">
      <c r="A56" s="35" t="inlineStr">
        <is>
          <t>December</t>
        </is>
      </c>
      <c r="B56" s="37">
        <f>$A$11 * 1.33</f>
        <v/>
      </c>
      <c r="C56" s="37">
        <f>SUMIFS(Raw_Attendance_Data!$S$2:$S$2, Raw_Attendance_Data!$I$2:$I$2, A56, Raw_Attendance_Data!$A$2:$A$2, 1)</f>
        <v/>
      </c>
      <c r="D56" s="38">
        <f>IF(B56&gt;0, C56/B56, 0)</f>
        <v/>
      </c>
    </row>
    <row r="57" ht="18" customHeight="1">
      <c r="A57" s="35" t="inlineStr">
        <is>
          <t>January</t>
        </is>
      </c>
      <c r="B57" s="37">
        <f>$A$11 * 1.33</f>
        <v/>
      </c>
      <c r="C57" s="37">
        <f>SUMIFS(Raw_Attendance_Data!$S$2:$S$2, Raw_Attendance_Data!$I$2:$I$2, A57, Raw_Attendance_Data!$A$2:$A$2, 1)</f>
        <v/>
      </c>
      <c r="D57" s="38">
        <f>IF(B57&gt;0, C57/B57, 0)</f>
        <v/>
      </c>
    </row>
    <row r="58" ht="18" customHeight="1">
      <c r="A58" s="35" t="inlineStr">
        <is>
          <t>February</t>
        </is>
      </c>
      <c r="B58" s="37">
        <f>$A$11 * 1.33</f>
        <v/>
      </c>
      <c r="C58" s="37">
        <f>SUMIFS(Raw_Attendance_Data!$S$2:$S$2, Raw_Attendance_Data!$I$2:$I$2, A58, Raw_Attendance_Data!$A$2:$A$2, 1)</f>
        <v/>
      </c>
      <c r="D58" s="38">
        <f>IF(B58&gt;0, C58/B58, 0)</f>
        <v/>
      </c>
    </row>
    <row r="59" ht="18" customHeight="1">
      <c r="A59" s="35" t="inlineStr">
        <is>
          <t>March</t>
        </is>
      </c>
      <c r="B59" s="37">
        <f>$A$11 * 1.33</f>
        <v/>
      </c>
      <c r="C59" s="37">
        <f>SUMIFS(Raw_Attendance_Data!$S$2:$S$2, Raw_Attendance_Data!$I$2:$I$2, A59, Raw_Attendance_Data!$A$2:$A$2, 1)</f>
        <v/>
      </c>
      <c r="D59" s="38">
        <f>IF(B59&gt;0, C59/B59, 0)</f>
        <v/>
      </c>
    </row>
  </sheetData>
  <mergeCells count="42">
    <mergeCell ref="E12:F12"/>
    <mergeCell ref="J6:L6"/>
    <mergeCell ref="G12:H12"/>
    <mergeCell ref="G6:I6"/>
    <mergeCell ref="A15:K15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I11:L11"/>
    <mergeCell ref="G49:K49"/>
    <mergeCell ref="A4:L4"/>
    <mergeCell ref="A12:B12"/>
    <mergeCell ref="C12:D12"/>
    <mergeCell ref="E6:F6"/>
    <mergeCell ref="C11:D11"/>
    <mergeCell ref="E11:F11"/>
    <mergeCell ref="D6"/>
    <mergeCell ref="G37:J37"/>
    <mergeCell ref="J5:L5"/>
    <mergeCell ref="B6:C6"/>
    <mergeCell ref="G51:K51"/>
    <mergeCell ref="B5:C5"/>
    <mergeCell ref="A1:L1"/>
    <mergeCell ref="A10:B10"/>
    <mergeCell ref="I12:L12"/>
    <mergeCell ref="G50:K50"/>
    <mergeCell ref="A13:B13"/>
    <mergeCell ref="C13:D13"/>
    <mergeCell ref="G46:K46"/>
  </mergeCells>
  <conditionalFormatting sqref="I17:I33">
    <cfRule type="cellIs" priority="1" operator="equal" dxfId="0">
      <formula>"Achieved"</formula>
    </cfRule>
    <cfRule type="cellIs" priority="2" operator="equal" dxfId="1">
      <formula>"Good"</formula>
    </cfRule>
    <cfRule type="cellIs" priority="3" operator="equal" dxfId="2">
      <formula>"Moderate"</formula>
    </cfRule>
    <cfRule type="cellIs" priority="4" operator="equal" dxfId="3">
      <formula>"Low"</formula>
    </cfRule>
    <cfRule type="cellIs" priority="5" operator="equal" dxfId="4">
      <formula>"Critical"</formula>
    </cfRule>
  </conditionalFormatting>
  <conditionalFormatting sqref="J39:J43">
    <cfRule type="cellIs" priority="6" operator="equal" dxfId="4">
      <formula>"🔴 Critical Risk"</formula>
    </cfRule>
    <cfRule type="cellIs" priority="7" operator="equal" dxfId="2">
      <formula>"🟡 Moderate Risk"</formula>
    </cfRule>
    <cfRule type="cellIs" priority="8" operator="equal" dxfId="0">
      <formula>"🟢 Low Risk"</formula>
    </cfRule>
  </conditionalFormatting>
  <dataValidations count="5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J6" showDropDown="0" showInputMessage="0" showErrorMessage="0" allowBlank="1" type="list">
      <formula1>Filter_Lists!$E$2:$E$10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53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54" t="n">
        <v>117</v>
      </c>
      <c r="C4" s="54" t="n">
        <v>0</v>
      </c>
      <c r="D4" s="55">
        <f>IF(B4&gt;0, C4/B4, 0)</f>
        <v/>
      </c>
      <c r="E4" s="55" t="n">
        <v>1</v>
      </c>
      <c r="F4" s="56" t="n">
        <v>0</v>
      </c>
      <c r="G4" s="55" t="inlineStr">
        <is>
          <t>—</t>
        </is>
      </c>
    </row>
    <row r="5" ht="20" customHeight="1">
      <c r="A5" s="5" t="inlineStr">
        <is>
          <t>May</t>
        </is>
      </c>
      <c r="B5" s="54" t="n">
        <v>117</v>
      </c>
      <c r="C5" s="54" t="n">
        <v>0</v>
      </c>
      <c r="D5" s="55">
        <f>IF(B5&gt;0, C5/B5, 0)</f>
        <v/>
      </c>
      <c r="E5" s="55" t="n">
        <v>1</v>
      </c>
      <c r="F5" s="56" t="n">
        <v>0</v>
      </c>
      <c r="G5" s="55">
        <f>IF(C4&gt;0, (C5-C4)/C4, 0)</f>
        <v/>
      </c>
    </row>
    <row r="6" ht="20" customHeight="1">
      <c r="A6" s="5" t="inlineStr">
        <is>
          <t>June</t>
        </is>
      </c>
      <c r="B6" s="54" t="n">
        <v>117</v>
      </c>
      <c r="C6" s="54" t="n">
        <v>0</v>
      </c>
      <c r="D6" s="55">
        <f>IF(B6&gt;0, C6/B6, 0)</f>
        <v/>
      </c>
      <c r="E6" s="55" t="n">
        <v>1</v>
      </c>
      <c r="F6" s="56" t="n">
        <v>0</v>
      </c>
      <c r="G6" s="55">
        <f>IF(C5&gt;0, (C6-C5)/C5, 0)</f>
        <v/>
      </c>
    </row>
    <row r="7" ht="20" customHeight="1">
      <c r="A7" s="5" t="inlineStr">
        <is>
          <t>July</t>
        </is>
      </c>
      <c r="B7" s="54" t="n">
        <v>117</v>
      </c>
      <c r="C7" s="54" t="n">
        <v>0</v>
      </c>
      <c r="D7" s="55">
        <f>IF(B7&gt;0, C7/B7, 0)</f>
        <v/>
      </c>
      <c r="E7" s="55" t="n">
        <v>1</v>
      </c>
      <c r="F7" s="56" t="n">
        <v>0</v>
      </c>
      <c r="G7" s="55">
        <f>IF(C6&gt;0, (C7-C6)/C6, 0)</f>
        <v/>
      </c>
    </row>
    <row r="8" ht="20" customHeight="1">
      <c r="A8" s="5" t="inlineStr">
        <is>
          <t>August</t>
        </is>
      </c>
      <c r="B8" s="54" t="n">
        <v>117</v>
      </c>
      <c r="C8" s="54" t="n">
        <v>0</v>
      </c>
      <c r="D8" s="55">
        <f>IF(B8&gt;0, C8/B8, 0)</f>
        <v/>
      </c>
      <c r="E8" s="55" t="n">
        <v>1</v>
      </c>
      <c r="F8" s="56" t="n">
        <v>0</v>
      </c>
      <c r="G8" s="55">
        <f>IF(C7&gt;0, (C8-C7)/C7, 0)</f>
        <v/>
      </c>
    </row>
    <row r="9" ht="20" customHeight="1">
      <c r="A9" s="5" t="inlineStr">
        <is>
          <t>September</t>
        </is>
      </c>
      <c r="B9" s="54" t="n">
        <v>117</v>
      </c>
      <c r="C9" s="54" t="n">
        <v>0</v>
      </c>
      <c r="D9" s="55">
        <f>IF(B9&gt;0, C9/B9, 0)</f>
        <v/>
      </c>
      <c r="E9" s="55" t="n">
        <v>1</v>
      </c>
      <c r="F9" s="56" t="n">
        <v>0</v>
      </c>
      <c r="G9" s="55">
        <f>IF(C8&gt;0, (C9-C8)/C8, 0)</f>
        <v/>
      </c>
    </row>
    <row r="10" ht="20" customHeight="1">
      <c r="A10" s="5" t="inlineStr">
        <is>
          <t>October</t>
        </is>
      </c>
      <c r="B10" s="54" t="n">
        <v>117</v>
      </c>
      <c r="C10" s="54" t="n">
        <v>0</v>
      </c>
      <c r="D10" s="55">
        <f>IF(B10&gt;0, C10/B10, 0)</f>
        <v/>
      </c>
      <c r="E10" s="55" t="n">
        <v>1</v>
      </c>
      <c r="F10" s="56" t="n">
        <v>0</v>
      </c>
      <c r="G10" s="55">
        <f>IF(C9&gt;0, (C10-C9)/C9, 0)</f>
        <v/>
      </c>
    </row>
    <row r="11" ht="20" customHeight="1">
      <c r="A11" s="5" t="inlineStr">
        <is>
          <t>November</t>
        </is>
      </c>
      <c r="B11" s="54" t="n">
        <v>117</v>
      </c>
      <c r="C11" s="54" t="n">
        <v>0</v>
      </c>
      <c r="D11" s="55">
        <f>IF(B11&gt;0, C11/B11, 0)</f>
        <v/>
      </c>
      <c r="E11" s="55" t="n">
        <v>1</v>
      </c>
      <c r="F11" s="56" t="n">
        <v>0</v>
      </c>
      <c r="G11" s="55">
        <f>IF(C10&gt;0, (C11-C10)/C10, 0)</f>
        <v/>
      </c>
    </row>
    <row r="12" ht="20" customHeight="1">
      <c r="A12" s="5" t="inlineStr">
        <is>
          <t>December</t>
        </is>
      </c>
      <c r="B12" s="54" t="n">
        <v>117</v>
      </c>
      <c r="C12" s="54" t="n">
        <v>0</v>
      </c>
      <c r="D12" s="55">
        <f>IF(B12&gt;0, C12/B12, 0)</f>
        <v/>
      </c>
      <c r="E12" s="55" t="n">
        <v>1</v>
      </c>
      <c r="F12" s="56" t="n">
        <v>0</v>
      </c>
      <c r="G12" s="55">
        <f>IF(C11&gt;0, (C12-C11)/C11, 0)</f>
        <v/>
      </c>
    </row>
    <row r="13" ht="20" customHeight="1">
      <c r="A13" s="5" t="inlineStr">
        <is>
          <t>January</t>
        </is>
      </c>
      <c r="B13" s="54" t="n">
        <v>117</v>
      </c>
      <c r="C13" s="54" t="n">
        <v>0</v>
      </c>
      <c r="D13" s="55">
        <f>IF(B13&gt;0, C13/B13, 0)</f>
        <v/>
      </c>
      <c r="E13" s="55" t="n">
        <v>1</v>
      </c>
      <c r="F13" s="56" t="n">
        <v>0</v>
      </c>
      <c r="G13" s="55">
        <f>IF(C12&gt;0, (C13-C12)/C12, 0)</f>
        <v/>
      </c>
    </row>
    <row r="14" ht="20" customHeight="1">
      <c r="A14" s="5" t="inlineStr">
        <is>
          <t>February</t>
        </is>
      </c>
      <c r="B14" s="54" t="n">
        <v>117</v>
      </c>
      <c r="C14" s="54" t="n">
        <v>0</v>
      </c>
      <c r="D14" s="55">
        <f>IF(B14&gt;0, C14/B14, 0)</f>
        <v/>
      </c>
      <c r="E14" s="55" t="n">
        <v>1</v>
      </c>
      <c r="F14" s="56" t="n">
        <v>0</v>
      </c>
      <c r="G14" s="55">
        <f>IF(C13&gt;0, (C14-C13)/C13, 0)</f>
        <v/>
      </c>
    </row>
    <row r="15" ht="20" customHeight="1">
      <c r="A15" s="5" t="inlineStr">
        <is>
          <t>March</t>
        </is>
      </c>
      <c r="B15" s="54" t="n">
        <v>117</v>
      </c>
      <c r="C15" s="54" t="n">
        <v>0</v>
      </c>
      <c r="D15" s="55">
        <f>IF(B15&gt;0, C15/B15, 0)</f>
        <v/>
      </c>
      <c r="E15" s="55" t="n">
        <v>1</v>
      </c>
      <c r="F15" s="56" t="n">
        <v>0</v>
      </c>
      <c r="G15" s="55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57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53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2" customHeight="1">
      <c r="A4" s="8" t="inlineStr">
        <is>
          <t>Total / Average</t>
        </is>
      </c>
      <c r="B4" s="8" t="inlineStr"/>
      <c r="C4" s="8" t="inlineStr"/>
      <c r="D4" s="57">
        <f>SUM(D4:D3)</f>
        <v/>
      </c>
      <c r="E4" s="57">
        <f>SUM(E4:E3)</f>
        <v/>
      </c>
      <c r="F4" s="57">
        <f>SUM(F4:F3)</f>
        <v/>
      </c>
      <c r="G4" s="57">
        <f>SUM(G4:G3)</f>
        <v/>
      </c>
      <c r="H4" s="13">
        <f>IF(D4&gt;0, (E4+G4)/D4, 1.0)</f>
        <v/>
      </c>
      <c r="I4" s="8" t="inlineStr"/>
      <c r="J4" s="10">
        <f>SUM(J4:J3)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3" customWidth="1" min="4" max="4"/>
    <col width="12" customWidth="1" min="5" max="5"/>
    <col width="16" customWidth="1" min="6" max="6"/>
    <col width="17" customWidth="1" min="7" max="7"/>
    <col width="12" customWidth="1" min="8" max="8"/>
    <col width="13" customWidth="1" min="9" max="9"/>
    <col width="17" customWidth="1" min="10" max="10"/>
    <col width="20" customWidth="1" min="11" max="11"/>
    <col width="16" customWidth="1" min="12" max="12"/>
    <col width="20" customWidth="1" min="13" max="13"/>
    <col width="15" customWidth="1" min="14" max="14"/>
    <col width="12" customWidth="1" min="15" max="15"/>
    <col width="21" customWidth="1" min="16" max="16"/>
    <col width="22" customWidth="1" min="17" max="17"/>
    <col width="15" customWidth="1" min="18" max="18"/>
    <col width="22" customWidth="1" min="19" max="19"/>
  </cols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6" customWidth="1" min="2" max="2"/>
    <col width="31" customWidth="1" min="3" max="3"/>
    <col width="20" customWidth="1" min="4" max="4"/>
    <col width="28" customWidth="1" min="5" max="5"/>
    <col width="93" customWidth="1" min="6" max="6"/>
    <col width="111" customWidth="1" min="7" max="7"/>
    <col width="19" customWidth="1" min="8" max="8"/>
    <col width="25" customWidth="1" min="9" max="9"/>
    <col width="116" customWidth="1" min="10" max="10"/>
    <col width="82" customWidth="1" min="11" max="11"/>
    <col width="27" customWidth="1" min="12" max="12"/>
  </cols>
  <sheetData>
    <row r="1">
      <c r="A1" s="58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3"/>
    <row r="4"/>
    <row r="5"/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IF(OR('Department KPI Analytics'!$G$6="All", D6='Department KPI Analytics'!$G$6), 16, 0)</f>
        <v/>
      </c>
      <c r="G6">
        <f>SUMIFS(Raw_Attendance_Data!$S$2:$S$2, Raw_Attendance_Data!$B$2:$B$2, B6, Raw_Attendance_Data!$A$2:$A$2, 1)</f>
        <v/>
      </c>
      <c r="H6">
        <f>MAX(F6-G6, 0)</f>
        <v/>
      </c>
      <c r="I6">
        <f>IF(F6&gt;0, G6/F6, 0)</f>
        <v/>
      </c>
      <c r="J6">
        <f>COUNTIFS(Raw_Attendance_Data!$B$2:$B$2, B6, Raw_Attendance_Data!$A$2:$A$2, 1, Raw_Attendance_Data!$Q$2:$Q$2, 1)</f>
        <v/>
      </c>
      <c r="K6">
        <f>COUNTIFS(Raw_Attendance_Data!$B$2:$B$2, B6, Raw_Attendance_Data!$A$2:$A$2,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IF(OR('Department KPI Analytics'!$G$6="All", D7='Department KPI Analytics'!$G$6), 16, 0)</f>
        <v/>
      </c>
      <c r="G7">
        <f>SUMIFS(Raw_Attendance_Data!$S$2:$S$2, Raw_Attendance_Data!$B$2:$B$2, B7, Raw_Attendance_Data!$A$2:$A$2, 1)</f>
        <v/>
      </c>
      <c r="H7">
        <f>MAX(F7-G7, 0)</f>
        <v/>
      </c>
      <c r="I7">
        <f>IF(F7&gt;0, G7/F7, 0)</f>
        <v/>
      </c>
      <c r="J7">
        <f>COUNTIFS(Raw_Attendance_Data!$B$2:$B$2, B7, Raw_Attendance_Data!$A$2:$A$2, 1, Raw_Attendance_Data!$Q$2:$Q$2, 1)</f>
        <v/>
      </c>
      <c r="K7">
        <f>COUNTIFS(Raw_Attendance_Data!$B$2:$B$2, B7, Raw_Attendance_Data!$A$2:$A$2,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IF(OR('Department KPI Analytics'!$G$6="All", D8='Department KPI Analytics'!$G$6), 16, 0)</f>
        <v/>
      </c>
      <c r="G8">
        <f>SUMIFS(Raw_Attendance_Data!$S$2:$S$2, Raw_Attendance_Data!$B$2:$B$2, B8, Raw_Attendance_Data!$A$2:$A$2, 1)</f>
        <v/>
      </c>
      <c r="H8">
        <f>MAX(F8-G8, 0)</f>
        <v/>
      </c>
      <c r="I8">
        <f>IF(F8&gt;0, G8/F8, 0)</f>
        <v/>
      </c>
      <c r="J8">
        <f>COUNTIFS(Raw_Attendance_Data!$B$2:$B$2, B8, Raw_Attendance_Data!$A$2:$A$2, 1, Raw_Attendance_Data!$Q$2:$Q$2, 1)</f>
        <v/>
      </c>
      <c r="K8">
        <f>COUNTIFS(Raw_Attendance_Data!$B$2:$B$2, B8, Raw_Attendance_Data!$A$2:$A$2,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IF(OR('Department KPI Analytics'!$G$6="All", D9='Department KPI Analytics'!$G$6), 16, 0)</f>
        <v/>
      </c>
      <c r="G9">
        <f>SUMIFS(Raw_Attendance_Data!$S$2:$S$2, Raw_Attendance_Data!$B$2:$B$2, B9, Raw_Attendance_Data!$A$2:$A$2, 1)</f>
        <v/>
      </c>
      <c r="H9">
        <f>MAX(F9-G9, 0)</f>
        <v/>
      </c>
      <c r="I9">
        <f>IF(F9&gt;0, G9/F9, 0)</f>
        <v/>
      </c>
      <c r="J9">
        <f>COUNTIFS(Raw_Attendance_Data!$B$2:$B$2, B9, Raw_Attendance_Data!$A$2:$A$2, 1, Raw_Attendance_Data!$Q$2:$Q$2, 1)</f>
        <v/>
      </c>
      <c r="K9">
        <f>COUNTIFS(Raw_Attendance_Data!$B$2:$B$2, B9, Raw_Attendance_Data!$A$2:$A$2,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IF(OR('Department KPI Analytics'!$G$6="All", D10='Department KPI Analytics'!$G$6), 16, 0)</f>
        <v/>
      </c>
      <c r="G10">
        <f>SUMIFS(Raw_Attendance_Data!$S$2:$S$2, Raw_Attendance_Data!$B$2:$B$2, B10, Raw_Attendance_Data!$A$2:$A$2, 1)</f>
        <v/>
      </c>
      <c r="H10">
        <f>MAX(F10-G10, 0)</f>
        <v/>
      </c>
      <c r="I10">
        <f>IF(F10&gt;0, G10/F10, 0)</f>
        <v/>
      </c>
      <c r="J10">
        <f>COUNTIFS(Raw_Attendance_Data!$B$2:$B$2, B10, Raw_Attendance_Data!$A$2:$A$2, 1, Raw_Attendance_Data!$Q$2:$Q$2, 1)</f>
        <v/>
      </c>
      <c r="K10">
        <f>COUNTIFS(Raw_Attendance_Data!$B$2:$B$2, B10, Raw_Attendance_Data!$A$2:$A$2,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IF(OR('Department KPI Analytics'!$G$6="All", D11='Department KPI Analytics'!$G$6), 16, 0)</f>
        <v/>
      </c>
      <c r="G11">
        <f>SUMIFS(Raw_Attendance_Data!$S$2:$S$2, Raw_Attendance_Data!$B$2:$B$2, B11, Raw_Attendance_Data!$A$2:$A$2, 1)</f>
        <v/>
      </c>
      <c r="H11">
        <f>MAX(F11-G11, 0)</f>
        <v/>
      </c>
      <c r="I11">
        <f>IF(F11&gt;0, G11/F11, 0)</f>
        <v/>
      </c>
      <c r="J11">
        <f>COUNTIFS(Raw_Attendance_Data!$B$2:$B$2, B11, Raw_Attendance_Data!$A$2:$A$2, 1, Raw_Attendance_Data!$Q$2:$Q$2, 1)</f>
        <v/>
      </c>
      <c r="K11">
        <f>COUNTIFS(Raw_Attendance_Data!$B$2:$B$2, B11, Raw_Attendance_Data!$A$2:$A$2,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IF(OR('Department KPI Analytics'!$G$6="All", D12='Department KPI Analytics'!$G$6), 16, 0)</f>
        <v/>
      </c>
      <c r="G12">
        <f>SUMIFS(Raw_Attendance_Data!$S$2:$S$2, Raw_Attendance_Data!$B$2:$B$2, B12, Raw_Attendance_Data!$A$2:$A$2, 1)</f>
        <v/>
      </c>
      <c r="H12">
        <f>MAX(F12-G12, 0)</f>
        <v/>
      </c>
      <c r="I12">
        <f>IF(F12&gt;0, G12/F12, 0)</f>
        <v/>
      </c>
      <c r="J12">
        <f>COUNTIFS(Raw_Attendance_Data!$B$2:$B$2, B12, Raw_Attendance_Data!$A$2:$A$2, 1, Raw_Attendance_Data!$Q$2:$Q$2, 1)</f>
        <v/>
      </c>
      <c r="K12">
        <f>COUNTIFS(Raw_Attendance_Data!$B$2:$B$2, B12, Raw_Attendance_Data!$A$2:$A$2,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IF(OR('Department KPI Analytics'!$G$6="All", D13='Department KPI Analytics'!$G$6), 16, 0)</f>
        <v/>
      </c>
      <c r="G13">
        <f>SUMIFS(Raw_Attendance_Data!$S$2:$S$2, Raw_Attendance_Data!$B$2:$B$2, B13, Raw_Attendance_Data!$A$2:$A$2, 1)</f>
        <v/>
      </c>
      <c r="H13">
        <f>MAX(F13-G13, 0)</f>
        <v/>
      </c>
      <c r="I13">
        <f>IF(F13&gt;0, G13/F13, 0)</f>
        <v/>
      </c>
      <c r="J13">
        <f>COUNTIFS(Raw_Attendance_Data!$B$2:$B$2, B13, Raw_Attendance_Data!$A$2:$A$2, 1, Raw_Attendance_Data!$Q$2:$Q$2, 1)</f>
        <v/>
      </c>
      <c r="K13">
        <f>COUNTIFS(Raw_Attendance_Data!$B$2:$B$2, B13, Raw_Attendance_Data!$A$2:$A$2,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IF(OR('Department KPI Analytics'!$G$6="All", D14='Department KPI Analytics'!$G$6), 16, 0)</f>
        <v/>
      </c>
      <c r="G14">
        <f>SUMIFS(Raw_Attendance_Data!$S$2:$S$2, Raw_Attendance_Data!$B$2:$B$2, B14, Raw_Attendance_Data!$A$2:$A$2, 1)</f>
        <v/>
      </c>
      <c r="H14">
        <f>MAX(F14-G14, 0)</f>
        <v/>
      </c>
      <c r="I14">
        <f>IF(F14&gt;0, G14/F14, 0)</f>
        <v/>
      </c>
      <c r="J14">
        <f>COUNTIFS(Raw_Attendance_Data!$B$2:$B$2, B14, Raw_Attendance_Data!$A$2:$A$2, 1, Raw_Attendance_Data!$Q$2:$Q$2, 1)</f>
        <v/>
      </c>
      <c r="K14">
        <f>COUNTIFS(Raw_Attendance_Data!$B$2:$B$2, B14, Raw_Attendance_Data!$A$2:$A$2,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IF(OR('Department KPI Analytics'!$G$6="All", D15='Department KPI Analytics'!$G$6), 16, 0)</f>
        <v/>
      </c>
      <c r="G15">
        <f>SUMIFS(Raw_Attendance_Data!$S$2:$S$2, Raw_Attendance_Data!$B$2:$B$2, B15, Raw_Attendance_Data!$A$2:$A$2, 1)</f>
        <v/>
      </c>
      <c r="H15">
        <f>MAX(F15-G15, 0)</f>
        <v/>
      </c>
      <c r="I15">
        <f>IF(F15&gt;0, G15/F15, 0)</f>
        <v/>
      </c>
      <c r="J15">
        <f>COUNTIFS(Raw_Attendance_Data!$B$2:$B$2, B15, Raw_Attendance_Data!$A$2:$A$2, 1, Raw_Attendance_Data!$Q$2:$Q$2, 1)</f>
        <v/>
      </c>
      <c r="K15">
        <f>COUNTIFS(Raw_Attendance_Data!$B$2:$B$2, B15, Raw_Attendance_Data!$A$2:$A$2,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IF(OR('Department KPI Analytics'!$G$6="All", D16='Department KPI Analytics'!$G$6), 16, 0)</f>
        <v/>
      </c>
      <c r="G16">
        <f>SUMIFS(Raw_Attendance_Data!$S$2:$S$2, Raw_Attendance_Data!$B$2:$B$2, B16, Raw_Attendance_Data!$A$2:$A$2, 1)</f>
        <v/>
      </c>
      <c r="H16">
        <f>MAX(F16-G16, 0)</f>
        <v/>
      </c>
      <c r="I16">
        <f>IF(F16&gt;0, G16/F16, 0)</f>
        <v/>
      </c>
      <c r="J16">
        <f>COUNTIFS(Raw_Attendance_Data!$B$2:$B$2, B16, Raw_Attendance_Data!$A$2:$A$2, 1, Raw_Attendance_Data!$Q$2:$Q$2, 1)</f>
        <v/>
      </c>
      <c r="K16">
        <f>COUNTIFS(Raw_Attendance_Data!$B$2:$B$2, B16, Raw_Attendance_Data!$A$2:$A$2,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IF(OR('Department KPI Analytics'!$G$6="All", D17='Department KPI Analytics'!$G$6), 16, 0)</f>
        <v/>
      </c>
      <c r="G17">
        <f>SUMIFS(Raw_Attendance_Data!$S$2:$S$2, Raw_Attendance_Data!$B$2:$B$2, B17, Raw_Attendance_Data!$A$2:$A$2, 1)</f>
        <v/>
      </c>
      <c r="H17">
        <f>MAX(F17-G17, 0)</f>
        <v/>
      </c>
      <c r="I17">
        <f>IF(F17&gt;0, G17/F17, 0)</f>
        <v/>
      </c>
      <c r="J17">
        <f>COUNTIFS(Raw_Attendance_Data!$B$2:$B$2, B17, Raw_Attendance_Data!$A$2:$A$2, 1, Raw_Attendance_Data!$Q$2:$Q$2, 1)</f>
        <v/>
      </c>
      <c r="K17">
        <f>COUNTIFS(Raw_Attendance_Data!$B$2:$B$2, B17, Raw_Attendance_Data!$A$2:$A$2,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IF(OR('Department KPI Analytics'!$G$6="All", D18='Department KPI Analytics'!$G$6), 16, 0)</f>
        <v/>
      </c>
      <c r="G18">
        <f>SUMIFS(Raw_Attendance_Data!$S$2:$S$2, Raw_Attendance_Data!$B$2:$B$2, B18, Raw_Attendance_Data!$A$2:$A$2, 1)</f>
        <v/>
      </c>
      <c r="H18">
        <f>MAX(F18-G18, 0)</f>
        <v/>
      </c>
      <c r="I18">
        <f>IF(F18&gt;0, G18/F18, 0)</f>
        <v/>
      </c>
      <c r="J18">
        <f>COUNTIFS(Raw_Attendance_Data!$B$2:$B$2, B18, Raw_Attendance_Data!$A$2:$A$2, 1, Raw_Attendance_Data!$Q$2:$Q$2, 1)</f>
        <v/>
      </c>
      <c r="K18">
        <f>COUNTIFS(Raw_Attendance_Data!$B$2:$B$2, B18, Raw_Attendance_Data!$A$2:$A$2,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IF(OR('Department KPI Analytics'!$G$6="All", D19='Department KPI Analytics'!$G$6), 16, 0)</f>
        <v/>
      </c>
      <c r="G19">
        <f>SUMIFS(Raw_Attendance_Data!$S$2:$S$2, Raw_Attendance_Data!$B$2:$B$2, B19, Raw_Attendance_Data!$A$2:$A$2, 1)</f>
        <v/>
      </c>
      <c r="H19">
        <f>MAX(F19-G19, 0)</f>
        <v/>
      </c>
      <c r="I19">
        <f>IF(F19&gt;0, G19/F19, 0)</f>
        <v/>
      </c>
      <c r="J19">
        <f>COUNTIFS(Raw_Attendance_Data!$B$2:$B$2, B19, Raw_Attendance_Data!$A$2:$A$2, 1, Raw_Attendance_Data!$Q$2:$Q$2, 1)</f>
        <v/>
      </c>
      <c r="K19">
        <f>COUNTIFS(Raw_Attendance_Data!$B$2:$B$2, B19, Raw_Attendance_Data!$A$2:$A$2,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IF(OR('Department KPI Analytics'!$G$6="All", D20='Department KPI Analytics'!$G$6), 16, 0)</f>
        <v/>
      </c>
      <c r="G20">
        <f>SUMIFS(Raw_Attendance_Data!$S$2:$S$2, Raw_Attendance_Data!$B$2:$B$2, B20, Raw_Attendance_Data!$A$2:$A$2, 1)</f>
        <v/>
      </c>
      <c r="H20">
        <f>MAX(F20-G20, 0)</f>
        <v/>
      </c>
      <c r="I20">
        <f>IF(F20&gt;0, G20/F20, 0)</f>
        <v/>
      </c>
      <c r="J20">
        <f>COUNTIFS(Raw_Attendance_Data!$B$2:$B$2, B20, Raw_Attendance_Data!$A$2:$A$2, 1, Raw_Attendance_Data!$Q$2:$Q$2, 1)</f>
        <v/>
      </c>
      <c r="K20">
        <f>COUNTIFS(Raw_Attendance_Data!$B$2:$B$2, B20, Raw_Attendance_Data!$A$2:$A$2,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IF(OR('Department KPI Analytics'!$G$6="All", D21='Department KPI Analytics'!$G$6), 16, 0)</f>
        <v/>
      </c>
      <c r="G21">
        <f>SUMIFS(Raw_Attendance_Data!$S$2:$S$2, Raw_Attendance_Data!$B$2:$B$2, B21, Raw_Attendance_Data!$A$2:$A$2, 1)</f>
        <v/>
      </c>
      <c r="H21">
        <f>MAX(F21-G21, 0)</f>
        <v/>
      </c>
      <c r="I21">
        <f>IF(F21&gt;0, G21/F21, 0)</f>
        <v/>
      </c>
      <c r="J21">
        <f>COUNTIFS(Raw_Attendance_Data!$B$2:$B$2, B21, Raw_Attendance_Data!$A$2:$A$2, 1, Raw_Attendance_Data!$Q$2:$Q$2, 1)</f>
        <v/>
      </c>
      <c r="K21">
        <f>COUNTIFS(Raw_Attendance_Data!$B$2:$B$2, B21, Raw_Attendance_Data!$A$2:$A$2,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IF(OR('Department KPI Analytics'!$G$6="All", D22='Department KPI Analytics'!$G$6), 16, 0)</f>
        <v/>
      </c>
      <c r="G22">
        <f>SUMIFS(Raw_Attendance_Data!$S$2:$S$2, Raw_Attendance_Data!$B$2:$B$2, B22, Raw_Attendance_Data!$A$2:$A$2, 1)</f>
        <v/>
      </c>
      <c r="H22">
        <f>MAX(F22-G22, 0)</f>
        <v/>
      </c>
      <c r="I22">
        <f>IF(F22&gt;0, G22/F22, 0)</f>
        <v/>
      </c>
      <c r="J22">
        <f>COUNTIFS(Raw_Attendance_Data!$B$2:$B$2, B22, Raw_Attendance_Data!$A$2:$A$2, 1, Raw_Attendance_Data!$Q$2:$Q$2, 1)</f>
        <v/>
      </c>
      <c r="K22">
        <f>COUNTIFS(Raw_Attendance_Data!$B$2:$B$2, B22, Raw_Attendance_Data!$A$2:$A$2,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IF(OR('Department KPI Analytics'!$G$6="All", D23='Department KPI Analytics'!$G$6), 16, 0)</f>
        <v/>
      </c>
      <c r="G23">
        <f>SUMIFS(Raw_Attendance_Data!$S$2:$S$2, Raw_Attendance_Data!$B$2:$B$2, B23, Raw_Attendance_Data!$A$2:$A$2, 1)</f>
        <v/>
      </c>
      <c r="H23">
        <f>MAX(F23-G23, 0)</f>
        <v/>
      </c>
      <c r="I23">
        <f>IF(F23&gt;0, G23/F23, 0)</f>
        <v/>
      </c>
      <c r="J23">
        <f>COUNTIFS(Raw_Attendance_Data!$B$2:$B$2, B23, Raw_Attendance_Data!$A$2:$A$2, 1, Raw_Attendance_Data!$Q$2:$Q$2, 1)</f>
        <v/>
      </c>
      <c r="K23">
        <f>COUNTIFS(Raw_Attendance_Data!$B$2:$B$2, B23, Raw_Attendance_Data!$A$2:$A$2,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IF(OR('Department KPI Analytics'!$G$6="All", D24='Department KPI Analytics'!$G$6), 16, 0)</f>
        <v/>
      </c>
      <c r="G24">
        <f>SUMIFS(Raw_Attendance_Data!$S$2:$S$2, Raw_Attendance_Data!$B$2:$B$2, B24, Raw_Attendance_Data!$A$2:$A$2, 1)</f>
        <v/>
      </c>
      <c r="H24">
        <f>MAX(F24-G24, 0)</f>
        <v/>
      </c>
      <c r="I24">
        <f>IF(F24&gt;0, G24/F24, 0)</f>
        <v/>
      </c>
      <c r="J24">
        <f>COUNTIFS(Raw_Attendance_Data!$B$2:$B$2, B24, Raw_Attendance_Data!$A$2:$A$2, 1, Raw_Attendance_Data!$Q$2:$Q$2, 1)</f>
        <v/>
      </c>
      <c r="K24">
        <f>COUNTIFS(Raw_Attendance_Data!$B$2:$B$2, B24, Raw_Attendance_Data!$A$2:$A$2,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IF(OR('Department KPI Analytics'!$G$6="All", D25='Department KPI Analytics'!$G$6), 16, 0)</f>
        <v/>
      </c>
      <c r="G25">
        <f>SUMIFS(Raw_Attendance_Data!$S$2:$S$2, Raw_Attendance_Data!$B$2:$B$2, B25, Raw_Attendance_Data!$A$2:$A$2, 1)</f>
        <v/>
      </c>
      <c r="H25">
        <f>MAX(F25-G25, 0)</f>
        <v/>
      </c>
      <c r="I25">
        <f>IF(F25&gt;0, G25/F25, 0)</f>
        <v/>
      </c>
      <c r="J25">
        <f>COUNTIFS(Raw_Attendance_Data!$B$2:$B$2, B25, Raw_Attendance_Data!$A$2:$A$2, 1, Raw_Attendance_Data!$Q$2:$Q$2, 1)</f>
        <v/>
      </c>
      <c r="K25">
        <f>COUNTIFS(Raw_Attendance_Data!$B$2:$B$2, B25, Raw_Attendance_Data!$A$2:$A$2,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IF(OR('Department KPI Analytics'!$G$6="All", D26='Department KPI Analytics'!$G$6), 16, 0)</f>
        <v/>
      </c>
      <c r="G26">
        <f>SUMIFS(Raw_Attendance_Data!$S$2:$S$2, Raw_Attendance_Data!$B$2:$B$2, B26, Raw_Attendance_Data!$A$2:$A$2, 1)</f>
        <v/>
      </c>
      <c r="H26">
        <f>MAX(F26-G26, 0)</f>
        <v/>
      </c>
      <c r="I26">
        <f>IF(F26&gt;0, G26/F26, 0)</f>
        <v/>
      </c>
      <c r="J26">
        <f>COUNTIFS(Raw_Attendance_Data!$B$2:$B$2, B26, Raw_Attendance_Data!$A$2:$A$2, 1, Raw_Attendance_Data!$Q$2:$Q$2, 1)</f>
        <v/>
      </c>
      <c r="K26">
        <f>COUNTIFS(Raw_Attendance_Data!$B$2:$B$2, B26, Raw_Attendance_Data!$A$2:$A$2,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IF(OR('Department KPI Analytics'!$G$6="All", D27='Department KPI Analytics'!$G$6), 16, 0)</f>
        <v/>
      </c>
      <c r="G27">
        <f>SUMIFS(Raw_Attendance_Data!$S$2:$S$2, Raw_Attendance_Data!$B$2:$B$2, B27, Raw_Attendance_Data!$A$2:$A$2, 1)</f>
        <v/>
      </c>
      <c r="H27">
        <f>MAX(F27-G27, 0)</f>
        <v/>
      </c>
      <c r="I27">
        <f>IF(F27&gt;0, G27/F27, 0)</f>
        <v/>
      </c>
      <c r="J27">
        <f>COUNTIFS(Raw_Attendance_Data!$B$2:$B$2, B27, Raw_Attendance_Data!$A$2:$A$2, 1, Raw_Attendance_Data!$Q$2:$Q$2, 1)</f>
        <v/>
      </c>
      <c r="K27">
        <f>COUNTIFS(Raw_Attendance_Data!$B$2:$B$2, B27, Raw_Attendance_Data!$A$2:$A$2,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IF(OR('Department KPI Analytics'!$G$6="All", D28='Department KPI Analytics'!$G$6), 16, 0)</f>
        <v/>
      </c>
      <c r="G28">
        <f>SUMIFS(Raw_Attendance_Data!$S$2:$S$2, Raw_Attendance_Data!$B$2:$B$2, B28, Raw_Attendance_Data!$A$2:$A$2, 1)</f>
        <v/>
      </c>
      <c r="H28">
        <f>MAX(F28-G28, 0)</f>
        <v/>
      </c>
      <c r="I28">
        <f>IF(F28&gt;0, G28/F28, 0)</f>
        <v/>
      </c>
      <c r="J28">
        <f>COUNTIFS(Raw_Attendance_Data!$B$2:$B$2, B28, Raw_Attendance_Data!$A$2:$A$2, 1, Raw_Attendance_Data!$Q$2:$Q$2, 1)</f>
        <v/>
      </c>
      <c r="K28">
        <f>COUNTIFS(Raw_Attendance_Data!$B$2:$B$2, B28, Raw_Attendance_Data!$A$2:$A$2,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IF(OR('Department KPI Analytics'!$G$6="All", D29='Department KPI Analytics'!$G$6), 16, 0)</f>
        <v/>
      </c>
      <c r="G29">
        <f>SUMIFS(Raw_Attendance_Data!$S$2:$S$2, Raw_Attendance_Data!$B$2:$B$2, B29, Raw_Attendance_Data!$A$2:$A$2, 1)</f>
        <v/>
      </c>
      <c r="H29">
        <f>MAX(F29-G29, 0)</f>
        <v/>
      </c>
      <c r="I29">
        <f>IF(F29&gt;0, G29/F29, 0)</f>
        <v/>
      </c>
      <c r="J29">
        <f>COUNTIFS(Raw_Attendance_Data!$B$2:$B$2, B29, Raw_Attendance_Data!$A$2:$A$2, 1, Raw_Attendance_Data!$Q$2:$Q$2, 1)</f>
        <v/>
      </c>
      <c r="K29">
        <f>COUNTIFS(Raw_Attendance_Data!$B$2:$B$2, B29, Raw_Attendance_Data!$A$2:$A$2,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IF(OR('Department KPI Analytics'!$G$6="All", D30='Department KPI Analytics'!$G$6), 16, 0)</f>
        <v/>
      </c>
      <c r="G30">
        <f>SUMIFS(Raw_Attendance_Data!$S$2:$S$2, Raw_Attendance_Data!$B$2:$B$2, B30, Raw_Attendance_Data!$A$2:$A$2, 1)</f>
        <v/>
      </c>
      <c r="H30">
        <f>MAX(F30-G30, 0)</f>
        <v/>
      </c>
      <c r="I30">
        <f>IF(F30&gt;0, G30/F30, 0)</f>
        <v/>
      </c>
      <c r="J30">
        <f>COUNTIFS(Raw_Attendance_Data!$B$2:$B$2, B30, Raw_Attendance_Data!$A$2:$A$2, 1, Raw_Attendance_Data!$Q$2:$Q$2, 1)</f>
        <v/>
      </c>
      <c r="K30">
        <f>COUNTIFS(Raw_Attendance_Data!$B$2:$B$2, B30, Raw_Attendance_Data!$A$2:$A$2,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IF(OR('Department KPI Analytics'!$G$6="All", D31='Department KPI Analytics'!$G$6), 16, 0)</f>
        <v/>
      </c>
      <c r="G31">
        <f>SUMIFS(Raw_Attendance_Data!$S$2:$S$2, Raw_Attendance_Data!$B$2:$B$2, B31, Raw_Attendance_Data!$A$2:$A$2, 1)</f>
        <v/>
      </c>
      <c r="H31">
        <f>MAX(F31-G31, 0)</f>
        <v/>
      </c>
      <c r="I31">
        <f>IF(F31&gt;0, G31/F31, 0)</f>
        <v/>
      </c>
      <c r="J31">
        <f>COUNTIFS(Raw_Attendance_Data!$B$2:$B$2, B31, Raw_Attendance_Data!$A$2:$A$2, 1, Raw_Attendance_Data!$Q$2:$Q$2, 1)</f>
        <v/>
      </c>
      <c r="K31">
        <f>COUNTIFS(Raw_Attendance_Data!$B$2:$B$2, B31, Raw_Attendance_Data!$A$2:$A$2,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IF(OR('Department KPI Analytics'!$G$6="All", D32='Department KPI Analytics'!$G$6), 16, 0)</f>
        <v/>
      </c>
      <c r="G32">
        <f>SUMIFS(Raw_Attendance_Data!$S$2:$S$2, Raw_Attendance_Data!$B$2:$B$2, B32, Raw_Attendance_Data!$A$2:$A$2, 1)</f>
        <v/>
      </c>
      <c r="H32">
        <f>MAX(F32-G32, 0)</f>
        <v/>
      </c>
      <c r="I32">
        <f>IF(F32&gt;0, G32/F32, 0)</f>
        <v/>
      </c>
      <c r="J32">
        <f>COUNTIFS(Raw_Attendance_Data!$B$2:$B$2, B32, Raw_Attendance_Data!$A$2:$A$2, 1, Raw_Attendance_Data!$Q$2:$Q$2, 1)</f>
        <v/>
      </c>
      <c r="K32">
        <f>COUNTIFS(Raw_Attendance_Data!$B$2:$B$2, B32, Raw_Attendance_Data!$A$2:$A$2,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IF(OR('Department KPI Analytics'!$G$6="All", D33='Department KPI Analytics'!$G$6), 16, 0)</f>
        <v/>
      </c>
      <c r="G33">
        <f>SUMIFS(Raw_Attendance_Data!$S$2:$S$2, Raw_Attendance_Data!$B$2:$B$2, B33, Raw_Attendance_Data!$A$2:$A$2, 1)</f>
        <v/>
      </c>
      <c r="H33">
        <f>MAX(F33-G33, 0)</f>
        <v/>
      </c>
      <c r="I33">
        <f>IF(F33&gt;0, G33/F33, 0)</f>
        <v/>
      </c>
      <c r="J33">
        <f>COUNTIFS(Raw_Attendance_Data!$B$2:$B$2, B33, Raw_Attendance_Data!$A$2:$A$2, 1, Raw_Attendance_Data!$Q$2:$Q$2, 1)</f>
        <v/>
      </c>
      <c r="K33">
        <f>COUNTIFS(Raw_Attendance_Data!$B$2:$B$2, B33, Raw_Attendance_Data!$A$2:$A$2,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IF(OR('Department KPI Analytics'!$G$6="All", D34='Department KPI Analytics'!$G$6), 16, 0)</f>
        <v/>
      </c>
      <c r="G34">
        <f>SUMIFS(Raw_Attendance_Data!$S$2:$S$2, Raw_Attendance_Data!$B$2:$B$2, B34, Raw_Attendance_Data!$A$2:$A$2, 1)</f>
        <v/>
      </c>
      <c r="H34">
        <f>MAX(F34-G34, 0)</f>
        <v/>
      </c>
      <c r="I34">
        <f>IF(F34&gt;0, G34/F34, 0)</f>
        <v/>
      </c>
      <c r="J34">
        <f>COUNTIFS(Raw_Attendance_Data!$B$2:$B$2, B34, Raw_Attendance_Data!$A$2:$A$2, 1, Raw_Attendance_Data!$Q$2:$Q$2, 1)</f>
        <v/>
      </c>
      <c r="K34">
        <f>COUNTIFS(Raw_Attendance_Data!$B$2:$B$2, B34, Raw_Attendance_Data!$A$2:$A$2,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IF(OR('Department KPI Analytics'!$G$6="All", D35='Department KPI Analytics'!$G$6), 16, 0)</f>
        <v/>
      </c>
      <c r="G35">
        <f>SUMIFS(Raw_Attendance_Data!$S$2:$S$2, Raw_Attendance_Data!$B$2:$B$2, B35, Raw_Attendance_Data!$A$2:$A$2, 1)</f>
        <v/>
      </c>
      <c r="H35">
        <f>MAX(F35-G35, 0)</f>
        <v/>
      </c>
      <c r="I35">
        <f>IF(F35&gt;0, G35/F35, 0)</f>
        <v/>
      </c>
      <c r="J35">
        <f>COUNTIFS(Raw_Attendance_Data!$B$2:$B$2, B35, Raw_Attendance_Data!$A$2:$A$2, 1, Raw_Attendance_Data!$Q$2:$Q$2, 1)</f>
        <v/>
      </c>
      <c r="K35">
        <f>COUNTIFS(Raw_Attendance_Data!$B$2:$B$2, B35, Raw_Attendance_Data!$A$2:$A$2,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IF(OR('Department KPI Analytics'!$G$6="All", D36='Department KPI Analytics'!$G$6), 16, 0)</f>
        <v/>
      </c>
      <c r="G36">
        <f>SUMIFS(Raw_Attendance_Data!$S$2:$S$2, Raw_Attendance_Data!$B$2:$B$2, B36, Raw_Attendance_Data!$A$2:$A$2, 1)</f>
        <v/>
      </c>
      <c r="H36">
        <f>MAX(F36-G36, 0)</f>
        <v/>
      </c>
      <c r="I36">
        <f>IF(F36&gt;0, G36/F36, 0)</f>
        <v/>
      </c>
      <c r="J36">
        <f>COUNTIFS(Raw_Attendance_Data!$B$2:$B$2, B36, Raw_Attendance_Data!$A$2:$A$2, 1, Raw_Attendance_Data!$Q$2:$Q$2, 1)</f>
        <v/>
      </c>
      <c r="K36">
        <f>COUNTIFS(Raw_Attendance_Data!$B$2:$B$2, B36, Raw_Attendance_Data!$A$2:$A$2,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IF(OR('Department KPI Analytics'!$G$6="All", D37='Department KPI Analytics'!$G$6), 16, 0)</f>
        <v/>
      </c>
      <c r="G37">
        <f>SUMIFS(Raw_Attendance_Data!$S$2:$S$2, Raw_Attendance_Data!$B$2:$B$2, B37, Raw_Attendance_Data!$A$2:$A$2, 1)</f>
        <v/>
      </c>
      <c r="H37">
        <f>MAX(F37-G37, 0)</f>
        <v/>
      </c>
      <c r="I37">
        <f>IF(F37&gt;0, G37/F37, 0)</f>
        <v/>
      </c>
      <c r="J37">
        <f>COUNTIFS(Raw_Attendance_Data!$B$2:$B$2, B37, Raw_Attendance_Data!$A$2:$A$2, 1, Raw_Attendance_Data!$Q$2:$Q$2, 1)</f>
        <v/>
      </c>
      <c r="K37">
        <f>COUNTIFS(Raw_Attendance_Data!$B$2:$B$2, B37, Raw_Attendance_Data!$A$2:$A$2,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IF(OR('Department KPI Analytics'!$G$6="All", D38='Department KPI Analytics'!$G$6), 16, 0)</f>
        <v/>
      </c>
      <c r="G38">
        <f>SUMIFS(Raw_Attendance_Data!$S$2:$S$2, Raw_Attendance_Data!$B$2:$B$2, B38, Raw_Attendance_Data!$A$2:$A$2, 1)</f>
        <v/>
      </c>
      <c r="H38">
        <f>MAX(F38-G38, 0)</f>
        <v/>
      </c>
      <c r="I38">
        <f>IF(F38&gt;0, G38/F38, 0)</f>
        <v/>
      </c>
      <c r="J38">
        <f>COUNTIFS(Raw_Attendance_Data!$B$2:$B$2, B38, Raw_Attendance_Data!$A$2:$A$2, 1, Raw_Attendance_Data!$Q$2:$Q$2, 1)</f>
        <v/>
      </c>
      <c r="K38">
        <f>COUNTIFS(Raw_Attendance_Data!$B$2:$B$2, B38, Raw_Attendance_Data!$A$2:$A$2,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IF(OR('Department KPI Analytics'!$G$6="All", D39='Department KPI Analytics'!$G$6), 16, 0)</f>
        <v/>
      </c>
      <c r="G39">
        <f>SUMIFS(Raw_Attendance_Data!$S$2:$S$2, Raw_Attendance_Data!$B$2:$B$2, B39, Raw_Attendance_Data!$A$2:$A$2, 1)</f>
        <v/>
      </c>
      <c r="H39">
        <f>MAX(F39-G39, 0)</f>
        <v/>
      </c>
      <c r="I39">
        <f>IF(F39&gt;0, G39/F39, 0)</f>
        <v/>
      </c>
      <c r="J39">
        <f>COUNTIFS(Raw_Attendance_Data!$B$2:$B$2, B39, Raw_Attendance_Data!$A$2:$A$2, 1, Raw_Attendance_Data!$Q$2:$Q$2, 1)</f>
        <v/>
      </c>
      <c r="K39">
        <f>COUNTIFS(Raw_Attendance_Data!$B$2:$B$2, B39, Raw_Attendance_Data!$A$2:$A$2,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IF(OR('Department KPI Analytics'!$G$6="All", D40='Department KPI Analytics'!$G$6), 16, 0)</f>
        <v/>
      </c>
      <c r="G40">
        <f>SUMIFS(Raw_Attendance_Data!$S$2:$S$2, Raw_Attendance_Data!$B$2:$B$2, B40, Raw_Attendance_Data!$A$2:$A$2, 1)</f>
        <v/>
      </c>
      <c r="H40">
        <f>MAX(F40-G40, 0)</f>
        <v/>
      </c>
      <c r="I40">
        <f>IF(F40&gt;0, G40/F40, 0)</f>
        <v/>
      </c>
      <c r="J40">
        <f>COUNTIFS(Raw_Attendance_Data!$B$2:$B$2, B40, Raw_Attendance_Data!$A$2:$A$2, 1, Raw_Attendance_Data!$Q$2:$Q$2, 1)</f>
        <v/>
      </c>
      <c r="K40">
        <f>COUNTIFS(Raw_Attendance_Data!$B$2:$B$2, B40, Raw_Attendance_Data!$A$2:$A$2,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IF(OR('Department KPI Analytics'!$G$6="All", D41='Department KPI Analytics'!$G$6), 16, 0)</f>
        <v/>
      </c>
      <c r="G41">
        <f>SUMIFS(Raw_Attendance_Data!$S$2:$S$2, Raw_Attendance_Data!$B$2:$B$2, B41, Raw_Attendance_Data!$A$2:$A$2, 1)</f>
        <v/>
      </c>
      <c r="H41">
        <f>MAX(F41-G41, 0)</f>
        <v/>
      </c>
      <c r="I41">
        <f>IF(F41&gt;0, G41/F41, 0)</f>
        <v/>
      </c>
      <c r="J41">
        <f>COUNTIFS(Raw_Attendance_Data!$B$2:$B$2, B41, Raw_Attendance_Data!$A$2:$A$2, 1, Raw_Attendance_Data!$Q$2:$Q$2, 1)</f>
        <v/>
      </c>
      <c r="K41">
        <f>COUNTIFS(Raw_Attendance_Data!$B$2:$B$2, B41, Raw_Attendance_Data!$A$2:$A$2,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IF(OR('Department KPI Analytics'!$G$6="All", D42='Department KPI Analytics'!$G$6), 16, 0)</f>
        <v/>
      </c>
      <c r="G42">
        <f>SUMIFS(Raw_Attendance_Data!$S$2:$S$2, Raw_Attendance_Data!$B$2:$B$2, B42, Raw_Attendance_Data!$A$2:$A$2, 1)</f>
        <v/>
      </c>
      <c r="H42">
        <f>MAX(F42-G42, 0)</f>
        <v/>
      </c>
      <c r="I42">
        <f>IF(F42&gt;0, G42/F42, 0)</f>
        <v/>
      </c>
      <c r="J42">
        <f>COUNTIFS(Raw_Attendance_Data!$B$2:$B$2, B42, Raw_Attendance_Data!$A$2:$A$2, 1, Raw_Attendance_Data!$Q$2:$Q$2, 1)</f>
        <v/>
      </c>
      <c r="K42">
        <f>COUNTIFS(Raw_Attendance_Data!$B$2:$B$2, B42, Raw_Attendance_Data!$A$2:$A$2,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IF(OR('Department KPI Analytics'!$G$6="All", D43='Department KPI Analytics'!$G$6), 16, 0)</f>
        <v/>
      </c>
      <c r="G43">
        <f>SUMIFS(Raw_Attendance_Data!$S$2:$S$2, Raw_Attendance_Data!$B$2:$B$2, B43, Raw_Attendance_Data!$A$2:$A$2, 1)</f>
        <v/>
      </c>
      <c r="H43">
        <f>MAX(F43-G43, 0)</f>
        <v/>
      </c>
      <c r="I43">
        <f>IF(F43&gt;0, G43/F43, 0)</f>
        <v/>
      </c>
      <c r="J43">
        <f>COUNTIFS(Raw_Attendance_Data!$B$2:$B$2, B43, Raw_Attendance_Data!$A$2:$A$2, 1, Raw_Attendance_Data!$Q$2:$Q$2, 1)</f>
        <v/>
      </c>
      <c r="K43">
        <f>COUNTIFS(Raw_Attendance_Data!$B$2:$B$2, B43, Raw_Attendance_Data!$A$2:$A$2,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IF(OR('Department KPI Analytics'!$G$6="All", D44='Department KPI Analytics'!$G$6), 16, 0)</f>
        <v/>
      </c>
      <c r="G44">
        <f>SUMIFS(Raw_Attendance_Data!$S$2:$S$2, Raw_Attendance_Data!$B$2:$B$2, B44, Raw_Attendance_Data!$A$2:$A$2, 1)</f>
        <v/>
      </c>
      <c r="H44">
        <f>MAX(F44-G44, 0)</f>
        <v/>
      </c>
      <c r="I44">
        <f>IF(F44&gt;0, G44/F44, 0)</f>
        <v/>
      </c>
      <c r="J44">
        <f>COUNTIFS(Raw_Attendance_Data!$B$2:$B$2, B44, Raw_Attendance_Data!$A$2:$A$2, 1, Raw_Attendance_Data!$Q$2:$Q$2, 1)</f>
        <v/>
      </c>
      <c r="K44">
        <f>COUNTIFS(Raw_Attendance_Data!$B$2:$B$2, B44, Raw_Attendance_Data!$A$2:$A$2,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IF(OR('Department KPI Analytics'!$G$6="All", D45='Department KPI Analytics'!$G$6), 16, 0)</f>
        <v/>
      </c>
      <c r="G45">
        <f>SUMIFS(Raw_Attendance_Data!$S$2:$S$2, Raw_Attendance_Data!$B$2:$B$2, B45, Raw_Attendance_Data!$A$2:$A$2, 1)</f>
        <v/>
      </c>
      <c r="H45">
        <f>MAX(F45-G45, 0)</f>
        <v/>
      </c>
      <c r="I45">
        <f>IF(F45&gt;0, G45/F45, 0)</f>
        <v/>
      </c>
      <c r="J45">
        <f>COUNTIFS(Raw_Attendance_Data!$B$2:$B$2, B45, Raw_Attendance_Data!$A$2:$A$2, 1, Raw_Attendance_Data!$Q$2:$Q$2, 1)</f>
        <v/>
      </c>
      <c r="K45">
        <f>COUNTIFS(Raw_Attendance_Data!$B$2:$B$2, B45, Raw_Attendance_Data!$A$2:$A$2,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IF(OR('Department KPI Analytics'!$G$6="All", D46='Department KPI Analytics'!$G$6), 16, 0)</f>
        <v/>
      </c>
      <c r="G46">
        <f>SUMIFS(Raw_Attendance_Data!$S$2:$S$2, Raw_Attendance_Data!$B$2:$B$2, B46, Raw_Attendance_Data!$A$2:$A$2, 1)</f>
        <v/>
      </c>
      <c r="H46">
        <f>MAX(F46-G46, 0)</f>
        <v/>
      </c>
      <c r="I46">
        <f>IF(F46&gt;0, G46/F46, 0)</f>
        <v/>
      </c>
      <c r="J46">
        <f>COUNTIFS(Raw_Attendance_Data!$B$2:$B$2, B46, Raw_Attendance_Data!$A$2:$A$2, 1, Raw_Attendance_Data!$Q$2:$Q$2, 1)</f>
        <v/>
      </c>
      <c r="K46">
        <f>COUNTIFS(Raw_Attendance_Data!$B$2:$B$2, B46, Raw_Attendance_Data!$A$2:$A$2,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IF(OR('Department KPI Analytics'!$G$6="All", D47='Department KPI Analytics'!$G$6), 16, 0)</f>
        <v/>
      </c>
      <c r="G47">
        <f>SUMIFS(Raw_Attendance_Data!$S$2:$S$2, Raw_Attendance_Data!$B$2:$B$2, B47, Raw_Attendance_Data!$A$2:$A$2, 1)</f>
        <v/>
      </c>
      <c r="H47">
        <f>MAX(F47-G47, 0)</f>
        <v/>
      </c>
      <c r="I47">
        <f>IF(F47&gt;0, G47/F47, 0)</f>
        <v/>
      </c>
      <c r="J47">
        <f>COUNTIFS(Raw_Attendance_Data!$B$2:$B$2, B47, Raw_Attendance_Data!$A$2:$A$2, 1, Raw_Attendance_Data!$Q$2:$Q$2, 1)</f>
        <v/>
      </c>
      <c r="K47">
        <f>COUNTIFS(Raw_Attendance_Data!$B$2:$B$2, B47, Raw_Attendance_Data!$A$2:$A$2,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IF(OR('Department KPI Analytics'!$G$6="All", D48='Department KPI Analytics'!$G$6), 16, 0)</f>
        <v/>
      </c>
      <c r="G48">
        <f>SUMIFS(Raw_Attendance_Data!$S$2:$S$2, Raw_Attendance_Data!$B$2:$B$2, B48, Raw_Attendance_Data!$A$2:$A$2, 1)</f>
        <v/>
      </c>
      <c r="H48">
        <f>MAX(F48-G48, 0)</f>
        <v/>
      </c>
      <c r="I48">
        <f>IF(F48&gt;0, G48/F48, 0)</f>
        <v/>
      </c>
      <c r="J48">
        <f>COUNTIFS(Raw_Attendance_Data!$B$2:$B$2, B48, Raw_Attendance_Data!$A$2:$A$2, 1, Raw_Attendance_Data!$Q$2:$Q$2, 1)</f>
        <v/>
      </c>
      <c r="K48">
        <f>COUNTIFS(Raw_Attendance_Data!$B$2:$B$2, B48, Raw_Attendance_Data!$A$2:$A$2,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IF(OR('Department KPI Analytics'!$G$6="All", D49='Department KPI Analytics'!$G$6), 16, 0)</f>
        <v/>
      </c>
      <c r="G49">
        <f>SUMIFS(Raw_Attendance_Data!$S$2:$S$2, Raw_Attendance_Data!$B$2:$B$2, B49, Raw_Attendance_Data!$A$2:$A$2, 1)</f>
        <v/>
      </c>
      <c r="H49">
        <f>MAX(F49-G49, 0)</f>
        <v/>
      </c>
      <c r="I49">
        <f>IF(F49&gt;0, G49/F49, 0)</f>
        <v/>
      </c>
      <c r="J49">
        <f>COUNTIFS(Raw_Attendance_Data!$B$2:$B$2, B49, Raw_Attendance_Data!$A$2:$A$2, 1, Raw_Attendance_Data!$Q$2:$Q$2, 1)</f>
        <v/>
      </c>
      <c r="K49">
        <f>COUNTIFS(Raw_Attendance_Data!$B$2:$B$2, B49, Raw_Attendance_Data!$A$2:$A$2,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IF(OR('Department KPI Analytics'!$G$6="All", D50='Department KPI Analytics'!$G$6), 16, 0)</f>
        <v/>
      </c>
      <c r="G50">
        <f>SUMIFS(Raw_Attendance_Data!$S$2:$S$2, Raw_Attendance_Data!$B$2:$B$2, B50, Raw_Attendance_Data!$A$2:$A$2, 1)</f>
        <v/>
      </c>
      <c r="H50">
        <f>MAX(F50-G50, 0)</f>
        <v/>
      </c>
      <c r="I50">
        <f>IF(F50&gt;0, G50/F50, 0)</f>
        <v/>
      </c>
      <c r="J50">
        <f>COUNTIFS(Raw_Attendance_Data!$B$2:$B$2, B50, Raw_Attendance_Data!$A$2:$A$2, 1, Raw_Attendance_Data!$Q$2:$Q$2, 1)</f>
        <v/>
      </c>
      <c r="K50">
        <f>COUNTIFS(Raw_Attendance_Data!$B$2:$B$2, B50, Raw_Attendance_Data!$A$2:$A$2,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IF(OR('Department KPI Analytics'!$G$6="All", D51='Department KPI Analytics'!$G$6), 16, 0)</f>
        <v/>
      </c>
      <c r="G51">
        <f>SUMIFS(Raw_Attendance_Data!$S$2:$S$2, Raw_Attendance_Data!$B$2:$B$2, B51, Raw_Attendance_Data!$A$2:$A$2, 1)</f>
        <v/>
      </c>
      <c r="H51">
        <f>MAX(F51-G51, 0)</f>
        <v/>
      </c>
      <c r="I51">
        <f>IF(F51&gt;0, G51/F51, 0)</f>
        <v/>
      </c>
      <c r="J51">
        <f>COUNTIFS(Raw_Attendance_Data!$B$2:$B$2, B51, Raw_Attendance_Data!$A$2:$A$2, 1, Raw_Attendance_Data!$Q$2:$Q$2, 1)</f>
        <v/>
      </c>
      <c r="K51">
        <f>COUNTIFS(Raw_Attendance_Data!$B$2:$B$2, B51, Raw_Attendance_Data!$A$2:$A$2,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IF(OR('Department KPI Analytics'!$G$6="All", D52='Department KPI Analytics'!$G$6), 16, 0)</f>
        <v/>
      </c>
      <c r="G52">
        <f>SUMIFS(Raw_Attendance_Data!$S$2:$S$2, Raw_Attendance_Data!$B$2:$B$2, B52, Raw_Attendance_Data!$A$2:$A$2, 1)</f>
        <v/>
      </c>
      <c r="H52">
        <f>MAX(F52-G52, 0)</f>
        <v/>
      </c>
      <c r="I52">
        <f>IF(F52&gt;0, G52/F52, 0)</f>
        <v/>
      </c>
      <c r="J52">
        <f>COUNTIFS(Raw_Attendance_Data!$B$2:$B$2, B52, Raw_Attendance_Data!$A$2:$A$2, 1, Raw_Attendance_Data!$Q$2:$Q$2, 1)</f>
        <v/>
      </c>
      <c r="K52">
        <f>COUNTIFS(Raw_Attendance_Data!$B$2:$B$2, B52, Raw_Attendance_Data!$A$2:$A$2,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IF(OR('Department KPI Analytics'!$G$6="All", D53='Department KPI Analytics'!$G$6), 16, 0)</f>
        <v/>
      </c>
      <c r="G53">
        <f>SUMIFS(Raw_Attendance_Data!$S$2:$S$2, Raw_Attendance_Data!$B$2:$B$2, B53, Raw_Attendance_Data!$A$2:$A$2, 1)</f>
        <v/>
      </c>
      <c r="H53">
        <f>MAX(F53-G53, 0)</f>
        <v/>
      </c>
      <c r="I53">
        <f>IF(F53&gt;0, G53/F53, 0)</f>
        <v/>
      </c>
      <c r="J53">
        <f>COUNTIFS(Raw_Attendance_Data!$B$2:$B$2, B53, Raw_Attendance_Data!$A$2:$A$2, 1, Raw_Attendance_Data!$Q$2:$Q$2, 1)</f>
        <v/>
      </c>
      <c r="K53">
        <f>COUNTIFS(Raw_Attendance_Data!$B$2:$B$2, B53, Raw_Attendance_Data!$A$2:$A$2,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IF(OR('Department KPI Analytics'!$G$6="All", D54='Department KPI Analytics'!$G$6), 16, 0)</f>
        <v/>
      </c>
      <c r="G54">
        <f>SUMIFS(Raw_Attendance_Data!$S$2:$S$2, Raw_Attendance_Data!$B$2:$B$2, B54, Raw_Attendance_Data!$A$2:$A$2, 1)</f>
        <v/>
      </c>
      <c r="H54">
        <f>MAX(F54-G54, 0)</f>
        <v/>
      </c>
      <c r="I54">
        <f>IF(F54&gt;0, G54/F54, 0)</f>
        <v/>
      </c>
      <c r="J54">
        <f>COUNTIFS(Raw_Attendance_Data!$B$2:$B$2, B54, Raw_Attendance_Data!$A$2:$A$2, 1, Raw_Attendance_Data!$Q$2:$Q$2, 1)</f>
        <v/>
      </c>
      <c r="K54">
        <f>COUNTIFS(Raw_Attendance_Data!$B$2:$B$2, B54, Raw_Attendance_Data!$A$2:$A$2,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IF(OR('Department KPI Analytics'!$G$6="All", D55='Department KPI Analytics'!$G$6), 16, 0)</f>
        <v/>
      </c>
      <c r="G55">
        <f>SUMIFS(Raw_Attendance_Data!$S$2:$S$2, Raw_Attendance_Data!$B$2:$B$2, B55, Raw_Attendance_Data!$A$2:$A$2, 1)</f>
        <v/>
      </c>
      <c r="H55">
        <f>MAX(F55-G55, 0)</f>
        <v/>
      </c>
      <c r="I55">
        <f>IF(F55&gt;0, G55/F55, 0)</f>
        <v/>
      </c>
      <c r="J55">
        <f>COUNTIFS(Raw_Attendance_Data!$B$2:$B$2, B55, Raw_Attendance_Data!$A$2:$A$2, 1, Raw_Attendance_Data!$Q$2:$Q$2, 1)</f>
        <v/>
      </c>
      <c r="K55">
        <f>COUNTIFS(Raw_Attendance_Data!$B$2:$B$2, B55, Raw_Attendance_Data!$A$2:$A$2,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IF(OR('Department KPI Analytics'!$G$6="All", D56='Department KPI Analytics'!$G$6), 16, 0)</f>
        <v/>
      </c>
      <c r="G56">
        <f>SUMIFS(Raw_Attendance_Data!$S$2:$S$2, Raw_Attendance_Data!$B$2:$B$2, B56, Raw_Attendance_Data!$A$2:$A$2, 1)</f>
        <v/>
      </c>
      <c r="H56">
        <f>MAX(F56-G56, 0)</f>
        <v/>
      </c>
      <c r="I56">
        <f>IF(F56&gt;0, G56/F56, 0)</f>
        <v/>
      </c>
      <c r="J56">
        <f>COUNTIFS(Raw_Attendance_Data!$B$2:$B$2, B56, Raw_Attendance_Data!$A$2:$A$2, 1, Raw_Attendance_Data!$Q$2:$Q$2, 1)</f>
        <v/>
      </c>
      <c r="K56">
        <f>COUNTIFS(Raw_Attendance_Data!$B$2:$B$2, B56, Raw_Attendance_Data!$A$2:$A$2,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IF(OR('Department KPI Analytics'!$G$6="All", D57='Department KPI Analytics'!$G$6), 16, 0)</f>
        <v/>
      </c>
      <c r="G57">
        <f>SUMIFS(Raw_Attendance_Data!$S$2:$S$2, Raw_Attendance_Data!$B$2:$B$2, B57, Raw_Attendance_Data!$A$2:$A$2, 1)</f>
        <v/>
      </c>
      <c r="H57">
        <f>MAX(F57-G57, 0)</f>
        <v/>
      </c>
      <c r="I57">
        <f>IF(F57&gt;0, G57/F57, 0)</f>
        <v/>
      </c>
      <c r="J57">
        <f>COUNTIFS(Raw_Attendance_Data!$B$2:$B$2, B57, Raw_Attendance_Data!$A$2:$A$2, 1, Raw_Attendance_Data!$Q$2:$Q$2, 1)</f>
        <v/>
      </c>
      <c r="K57">
        <f>COUNTIFS(Raw_Attendance_Data!$B$2:$B$2, B57, Raw_Attendance_Data!$A$2:$A$2,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IF(OR('Department KPI Analytics'!$G$6="All", D58='Department KPI Analytics'!$G$6), 16, 0)</f>
        <v/>
      </c>
      <c r="G58">
        <f>SUMIFS(Raw_Attendance_Data!$S$2:$S$2, Raw_Attendance_Data!$B$2:$B$2, B58, Raw_Attendance_Data!$A$2:$A$2, 1)</f>
        <v/>
      </c>
      <c r="H58">
        <f>MAX(F58-G58, 0)</f>
        <v/>
      </c>
      <c r="I58">
        <f>IF(F58&gt;0, G58/F58, 0)</f>
        <v/>
      </c>
      <c r="J58">
        <f>COUNTIFS(Raw_Attendance_Data!$B$2:$B$2, B58, Raw_Attendance_Data!$A$2:$A$2, 1, Raw_Attendance_Data!$Q$2:$Q$2, 1)</f>
        <v/>
      </c>
      <c r="K58">
        <f>COUNTIFS(Raw_Attendance_Data!$B$2:$B$2, B58, Raw_Attendance_Data!$A$2:$A$2,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IF(OR('Department KPI Analytics'!$G$6="All", D59='Department KPI Analytics'!$G$6), 16, 0)</f>
        <v/>
      </c>
      <c r="G59">
        <f>SUMIFS(Raw_Attendance_Data!$S$2:$S$2, Raw_Attendance_Data!$B$2:$B$2, B59, Raw_Attendance_Data!$A$2:$A$2, 1)</f>
        <v/>
      </c>
      <c r="H59">
        <f>MAX(F59-G59, 0)</f>
        <v/>
      </c>
      <c r="I59">
        <f>IF(F59&gt;0, G59/F59, 0)</f>
        <v/>
      </c>
      <c r="J59">
        <f>COUNTIFS(Raw_Attendance_Data!$B$2:$B$2, B59, Raw_Attendance_Data!$A$2:$A$2, 1, Raw_Attendance_Data!$Q$2:$Q$2, 1)</f>
        <v/>
      </c>
      <c r="K59">
        <f>COUNTIFS(Raw_Attendance_Data!$B$2:$B$2, B59, Raw_Attendance_Data!$A$2:$A$2,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IF(OR('Department KPI Analytics'!$G$6="All", D60='Department KPI Analytics'!$G$6), 16, 0)</f>
        <v/>
      </c>
      <c r="G60">
        <f>SUMIFS(Raw_Attendance_Data!$S$2:$S$2, Raw_Attendance_Data!$B$2:$B$2, B60, Raw_Attendance_Data!$A$2:$A$2, 1)</f>
        <v/>
      </c>
      <c r="H60">
        <f>MAX(F60-G60, 0)</f>
        <v/>
      </c>
      <c r="I60">
        <f>IF(F60&gt;0, G60/F60, 0)</f>
        <v/>
      </c>
      <c r="J60">
        <f>COUNTIFS(Raw_Attendance_Data!$B$2:$B$2, B60, Raw_Attendance_Data!$A$2:$A$2, 1, Raw_Attendance_Data!$Q$2:$Q$2, 1)</f>
        <v/>
      </c>
      <c r="K60">
        <f>COUNTIFS(Raw_Attendance_Data!$B$2:$B$2, B60, Raw_Attendance_Data!$A$2:$A$2,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IF(OR('Department KPI Analytics'!$G$6="All", D61='Department KPI Analytics'!$G$6), 16, 0)</f>
        <v/>
      </c>
      <c r="G61">
        <f>SUMIFS(Raw_Attendance_Data!$S$2:$S$2, Raw_Attendance_Data!$B$2:$B$2, B61, Raw_Attendance_Data!$A$2:$A$2, 1)</f>
        <v/>
      </c>
      <c r="H61">
        <f>MAX(F61-G61, 0)</f>
        <v/>
      </c>
      <c r="I61">
        <f>IF(F61&gt;0, G61/F61, 0)</f>
        <v/>
      </c>
      <c r="J61">
        <f>COUNTIFS(Raw_Attendance_Data!$B$2:$B$2, B61, Raw_Attendance_Data!$A$2:$A$2, 1, Raw_Attendance_Data!$Q$2:$Q$2, 1)</f>
        <v/>
      </c>
      <c r="K61">
        <f>COUNTIFS(Raw_Attendance_Data!$B$2:$B$2, B61, Raw_Attendance_Data!$A$2:$A$2,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IF(OR('Department KPI Analytics'!$G$6="All", D62='Department KPI Analytics'!$G$6), 16, 0)</f>
        <v/>
      </c>
      <c r="G62">
        <f>SUMIFS(Raw_Attendance_Data!$S$2:$S$2, Raw_Attendance_Data!$B$2:$B$2, B62, Raw_Attendance_Data!$A$2:$A$2, 1)</f>
        <v/>
      </c>
      <c r="H62">
        <f>MAX(F62-G62, 0)</f>
        <v/>
      </c>
      <c r="I62">
        <f>IF(F62&gt;0, G62/F62, 0)</f>
        <v/>
      </c>
      <c r="J62">
        <f>COUNTIFS(Raw_Attendance_Data!$B$2:$B$2, B62, Raw_Attendance_Data!$A$2:$A$2, 1, Raw_Attendance_Data!$Q$2:$Q$2, 1)</f>
        <v/>
      </c>
      <c r="K62">
        <f>COUNTIFS(Raw_Attendance_Data!$B$2:$B$2, B62, Raw_Attendance_Data!$A$2:$A$2,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IF(OR('Department KPI Analytics'!$G$6="All", D63='Department KPI Analytics'!$G$6), 16, 0)</f>
        <v/>
      </c>
      <c r="G63">
        <f>SUMIFS(Raw_Attendance_Data!$S$2:$S$2, Raw_Attendance_Data!$B$2:$B$2, B63, Raw_Attendance_Data!$A$2:$A$2, 1)</f>
        <v/>
      </c>
      <c r="H63">
        <f>MAX(F63-G63, 0)</f>
        <v/>
      </c>
      <c r="I63">
        <f>IF(F63&gt;0, G63/F63, 0)</f>
        <v/>
      </c>
      <c r="J63">
        <f>COUNTIFS(Raw_Attendance_Data!$B$2:$B$2, B63, Raw_Attendance_Data!$A$2:$A$2, 1, Raw_Attendance_Data!$Q$2:$Q$2, 1)</f>
        <v/>
      </c>
      <c r="K63">
        <f>COUNTIFS(Raw_Attendance_Data!$B$2:$B$2, B63, Raw_Attendance_Data!$A$2:$A$2,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IF(OR('Department KPI Analytics'!$G$6="All", D64='Department KPI Analytics'!$G$6), 16, 0)</f>
        <v/>
      </c>
      <c r="G64">
        <f>SUMIFS(Raw_Attendance_Data!$S$2:$S$2, Raw_Attendance_Data!$B$2:$B$2, B64, Raw_Attendance_Data!$A$2:$A$2, 1)</f>
        <v/>
      </c>
      <c r="H64">
        <f>MAX(F64-G64, 0)</f>
        <v/>
      </c>
      <c r="I64">
        <f>IF(F64&gt;0, G64/F64, 0)</f>
        <v/>
      </c>
      <c r="J64">
        <f>COUNTIFS(Raw_Attendance_Data!$B$2:$B$2, B64, Raw_Attendance_Data!$A$2:$A$2, 1, Raw_Attendance_Data!$Q$2:$Q$2, 1)</f>
        <v/>
      </c>
      <c r="K64">
        <f>COUNTIFS(Raw_Attendance_Data!$B$2:$B$2, B64, Raw_Attendance_Data!$A$2:$A$2,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IF(OR('Department KPI Analytics'!$G$6="All", D65='Department KPI Analytics'!$G$6), 16, 0)</f>
        <v/>
      </c>
      <c r="G65">
        <f>SUMIFS(Raw_Attendance_Data!$S$2:$S$2, Raw_Attendance_Data!$B$2:$B$2, B65, Raw_Attendance_Data!$A$2:$A$2, 1)</f>
        <v/>
      </c>
      <c r="H65">
        <f>MAX(F65-G65, 0)</f>
        <v/>
      </c>
      <c r="I65">
        <f>IF(F65&gt;0, G65/F65, 0)</f>
        <v/>
      </c>
      <c r="J65">
        <f>COUNTIFS(Raw_Attendance_Data!$B$2:$B$2, B65, Raw_Attendance_Data!$A$2:$A$2, 1, Raw_Attendance_Data!$Q$2:$Q$2, 1)</f>
        <v/>
      </c>
      <c r="K65">
        <f>COUNTIFS(Raw_Attendance_Data!$B$2:$B$2, B65, Raw_Attendance_Data!$A$2:$A$2,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IF(OR('Department KPI Analytics'!$G$6="All", D66='Department KPI Analytics'!$G$6), 16, 0)</f>
        <v/>
      </c>
      <c r="G66">
        <f>SUMIFS(Raw_Attendance_Data!$S$2:$S$2, Raw_Attendance_Data!$B$2:$B$2, B66, Raw_Attendance_Data!$A$2:$A$2, 1)</f>
        <v/>
      </c>
      <c r="H66">
        <f>MAX(F66-G66, 0)</f>
        <v/>
      </c>
      <c r="I66">
        <f>IF(F66&gt;0, G66/F66, 0)</f>
        <v/>
      </c>
      <c r="J66">
        <f>COUNTIFS(Raw_Attendance_Data!$B$2:$B$2, B66, Raw_Attendance_Data!$A$2:$A$2, 1, Raw_Attendance_Data!$Q$2:$Q$2, 1)</f>
        <v/>
      </c>
      <c r="K66">
        <f>COUNTIFS(Raw_Attendance_Data!$B$2:$B$2, B66, Raw_Attendance_Data!$A$2:$A$2,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IF(OR('Department KPI Analytics'!$G$6="All", D67='Department KPI Analytics'!$G$6), 16, 0)</f>
        <v/>
      </c>
      <c r="G67">
        <f>SUMIFS(Raw_Attendance_Data!$S$2:$S$2, Raw_Attendance_Data!$B$2:$B$2, B67, Raw_Attendance_Data!$A$2:$A$2, 1)</f>
        <v/>
      </c>
      <c r="H67">
        <f>MAX(F67-G67, 0)</f>
        <v/>
      </c>
      <c r="I67">
        <f>IF(F67&gt;0, G67/F67, 0)</f>
        <v/>
      </c>
      <c r="J67">
        <f>COUNTIFS(Raw_Attendance_Data!$B$2:$B$2, B67, Raw_Attendance_Data!$A$2:$A$2, 1, Raw_Attendance_Data!$Q$2:$Q$2, 1)</f>
        <v/>
      </c>
      <c r="K67">
        <f>COUNTIFS(Raw_Attendance_Data!$B$2:$B$2, B67, Raw_Attendance_Data!$A$2:$A$2,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IF(OR('Department KPI Analytics'!$G$6="All", D68='Department KPI Analytics'!$G$6), 16, 0)</f>
        <v/>
      </c>
      <c r="G68">
        <f>SUMIFS(Raw_Attendance_Data!$S$2:$S$2, Raw_Attendance_Data!$B$2:$B$2, B68, Raw_Attendance_Data!$A$2:$A$2, 1)</f>
        <v/>
      </c>
      <c r="H68">
        <f>MAX(F68-G68, 0)</f>
        <v/>
      </c>
      <c r="I68">
        <f>IF(F68&gt;0, G68/F68, 0)</f>
        <v/>
      </c>
      <c r="J68">
        <f>COUNTIFS(Raw_Attendance_Data!$B$2:$B$2, B68, Raw_Attendance_Data!$A$2:$A$2, 1, Raw_Attendance_Data!$Q$2:$Q$2, 1)</f>
        <v/>
      </c>
      <c r="K68">
        <f>COUNTIFS(Raw_Attendance_Data!$B$2:$B$2, B68, Raw_Attendance_Data!$A$2:$A$2,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IF(OR('Department KPI Analytics'!$G$6="All", D69='Department KPI Analytics'!$G$6), 16, 0)</f>
        <v/>
      </c>
      <c r="G69">
        <f>SUMIFS(Raw_Attendance_Data!$S$2:$S$2, Raw_Attendance_Data!$B$2:$B$2, B69, Raw_Attendance_Data!$A$2:$A$2, 1)</f>
        <v/>
      </c>
      <c r="H69">
        <f>MAX(F69-G69, 0)</f>
        <v/>
      </c>
      <c r="I69">
        <f>IF(F69&gt;0, G69/F69, 0)</f>
        <v/>
      </c>
      <c r="J69">
        <f>COUNTIFS(Raw_Attendance_Data!$B$2:$B$2, B69, Raw_Attendance_Data!$A$2:$A$2, 1, Raw_Attendance_Data!$Q$2:$Q$2, 1)</f>
        <v/>
      </c>
      <c r="K69">
        <f>COUNTIFS(Raw_Attendance_Data!$B$2:$B$2, B69, Raw_Attendance_Data!$A$2:$A$2,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IF(OR('Department KPI Analytics'!$G$6="All", D70='Department KPI Analytics'!$G$6), 16, 0)</f>
        <v/>
      </c>
      <c r="G70">
        <f>SUMIFS(Raw_Attendance_Data!$S$2:$S$2, Raw_Attendance_Data!$B$2:$B$2, B70, Raw_Attendance_Data!$A$2:$A$2, 1)</f>
        <v/>
      </c>
      <c r="H70">
        <f>MAX(F70-G70, 0)</f>
        <v/>
      </c>
      <c r="I70">
        <f>IF(F70&gt;0, G70/F70, 0)</f>
        <v/>
      </c>
      <c r="J70">
        <f>COUNTIFS(Raw_Attendance_Data!$B$2:$B$2, B70, Raw_Attendance_Data!$A$2:$A$2, 1, Raw_Attendance_Data!$Q$2:$Q$2, 1)</f>
        <v/>
      </c>
      <c r="K70">
        <f>COUNTIFS(Raw_Attendance_Data!$B$2:$B$2, B70, Raw_Attendance_Data!$A$2:$A$2,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IF(OR('Department KPI Analytics'!$G$6="All", D71='Department KPI Analytics'!$G$6), 16, 0)</f>
        <v/>
      </c>
      <c r="G71">
        <f>SUMIFS(Raw_Attendance_Data!$S$2:$S$2, Raw_Attendance_Data!$B$2:$B$2, B71, Raw_Attendance_Data!$A$2:$A$2, 1)</f>
        <v/>
      </c>
      <c r="H71">
        <f>MAX(F71-G71, 0)</f>
        <v/>
      </c>
      <c r="I71">
        <f>IF(F71&gt;0, G71/F71, 0)</f>
        <v/>
      </c>
      <c r="J71">
        <f>COUNTIFS(Raw_Attendance_Data!$B$2:$B$2, B71, Raw_Attendance_Data!$A$2:$A$2, 1, Raw_Attendance_Data!$Q$2:$Q$2, 1)</f>
        <v/>
      </c>
      <c r="K71">
        <f>COUNTIFS(Raw_Attendance_Data!$B$2:$B$2, B71, Raw_Attendance_Data!$A$2:$A$2,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IF(OR('Department KPI Analytics'!$G$6="All", D72='Department KPI Analytics'!$G$6), 16, 0)</f>
        <v/>
      </c>
      <c r="G72">
        <f>SUMIFS(Raw_Attendance_Data!$S$2:$S$2, Raw_Attendance_Data!$B$2:$B$2, B72, Raw_Attendance_Data!$A$2:$A$2, 1)</f>
        <v/>
      </c>
      <c r="H72">
        <f>MAX(F72-G72, 0)</f>
        <v/>
      </c>
      <c r="I72">
        <f>IF(F72&gt;0, G72/F72, 0)</f>
        <v/>
      </c>
      <c r="J72">
        <f>COUNTIFS(Raw_Attendance_Data!$B$2:$B$2, B72, Raw_Attendance_Data!$A$2:$A$2, 1, Raw_Attendance_Data!$Q$2:$Q$2, 1)</f>
        <v/>
      </c>
      <c r="K72">
        <f>COUNTIFS(Raw_Attendance_Data!$B$2:$B$2, B72, Raw_Attendance_Data!$A$2:$A$2,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IF(OR('Department KPI Analytics'!$G$6="All", D73='Department KPI Analytics'!$G$6), 16, 0)</f>
        <v/>
      </c>
      <c r="G73">
        <f>SUMIFS(Raw_Attendance_Data!$S$2:$S$2, Raw_Attendance_Data!$B$2:$B$2, B73, Raw_Attendance_Data!$A$2:$A$2, 1)</f>
        <v/>
      </c>
      <c r="H73">
        <f>MAX(F73-G73, 0)</f>
        <v/>
      </c>
      <c r="I73">
        <f>IF(F73&gt;0, G73/F73, 0)</f>
        <v/>
      </c>
      <c r="J73">
        <f>COUNTIFS(Raw_Attendance_Data!$B$2:$B$2, B73, Raw_Attendance_Data!$A$2:$A$2, 1, Raw_Attendance_Data!$Q$2:$Q$2, 1)</f>
        <v/>
      </c>
      <c r="K73">
        <f>COUNTIFS(Raw_Attendance_Data!$B$2:$B$2, B73, Raw_Attendance_Data!$A$2:$A$2,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IF(OR('Department KPI Analytics'!$G$6="All", D74='Department KPI Analytics'!$G$6), 16, 0)</f>
        <v/>
      </c>
      <c r="G74">
        <f>SUMIFS(Raw_Attendance_Data!$S$2:$S$2, Raw_Attendance_Data!$B$2:$B$2, B74, Raw_Attendance_Data!$A$2:$A$2, 1)</f>
        <v/>
      </c>
      <c r="H74">
        <f>MAX(F74-G74, 0)</f>
        <v/>
      </c>
      <c r="I74">
        <f>IF(F74&gt;0, G74/F74, 0)</f>
        <v/>
      </c>
      <c r="J74">
        <f>COUNTIFS(Raw_Attendance_Data!$B$2:$B$2, B74, Raw_Attendance_Data!$A$2:$A$2, 1, Raw_Attendance_Data!$Q$2:$Q$2, 1)</f>
        <v/>
      </c>
      <c r="K74">
        <f>COUNTIFS(Raw_Attendance_Data!$B$2:$B$2, B74, Raw_Attendance_Data!$A$2:$A$2,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IF(OR('Department KPI Analytics'!$G$6="All", D75='Department KPI Analytics'!$G$6), 16, 0)</f>
        <v/>
      </c>
      <c r="G75">
        <f>SUMIFS(Raw_Attendance_Data!$S$2:$S$2, Raw_Attendance_Data!$B$2:$B$2, B75, Raw_Attendance_Data!$A$2:$A$2, 1)</f>
        <v/>
      </c>
      <c r="H75">
        <f>MAX(F75-G75, 0)</f>
        <v/>
      </c>
      <c r="I75">
        <f>IF(F75&gt;0, G75/F75, 0)</f>
        <v/>
      </c>
      <c r="J75">
        <f>COUNTIFS(Raw_Attendance_Data!$B$2:$B$2, B75, Raw_Attendance_Data!$A$2:$A$2, 1, Raw_Attendance_Data!$Q$2:$Q$2, 1)</f>
        <v/>
      </c>
      <c r="K75">
        <f>COUNTIFS(Raw_Attendance_Data!$B$2:$B$2, B75, Raw_Attendance_Data!$A$2:$A$2,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IF(OR('Department KPI Analytics'!$G$6="All", D76='Department KPI Analytics'!$G$6), 16, 0)</f>
        <v/>
      </c>
      <c r="G76">
        <f>SUMIFS(Raw_Attendance_Data!$S$2:$S$2, Raw_Attendance_Data!$B$2:$B$2, B76, Raw_Attendance_Data!$A$2:$A$2, 1)</f>
        <v/>
      </c>
      <c r="H76">
        <f>MAX(F76-G76, 0)</f>
        <v/>
      </c>
      <c r="I76">
        <f>IF(F76&gt;0, G76/F76, 0)</f>
        <v/>
      </c>
      <c r="J76">
        <f>COUNTIFS(Raw_Attendance_Data!$B$2:$B$2, B76, Raw_Attendance_Data!$A$2:$A$2, 1, Raw_Attendance_Data!$Q$2:$Q$2, 1)</f>
        <v/>
      </c>
      <c r="K76">
        <f>COUNTIFS(Raw_Attendance_Data!$B$2:$B$2, B76, Raw_Attendance_Data!$A$2:$A$2,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IF(OR('Department KPI Analytics'!$G$6="All", D77='Department KPI Analytics'!$G$6), 16, 0)</f>
        <v/>
      </c>
      <c r="G77">
        <f>SUMIFS(Raw_Attendance_Data!$S$2:$S$2, Raw_Attendance_Data!$B$2:$B$2, B77, Raw_Attendance_Data!$A$2:$A$2, 1)</f>
        <v/>
      </c>
      <c r="H77">
        <f>MAX(F77-G77, 0)</f>
        <v/>
      </c>
      <c r="I77">
        <f>IF(F77&gt;0, G77/F77, 0)</f>
        <v/>
      </c>
      <c r="J77">
        <f>COUNTIFS(Raw_Attendance_Data!$B$2:$B$2, B77, Raw_Attendance_Data!$A$2:$A$2, 1, Raw_Attendance_Data!$Q$2:$Q$2, 1)</f>
        <v/>
      </c>
      <c r="K77">
        <f>COUNTIFS(Raw_Attendance_Data!$B$2:$B$2, B77, Raw_Attendance_Data!$A$2:$A$2,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IF(OR('Department KPI Analytics'!$G$6="All", D78='Department KPI Analytics'!$G$6), 16, 0)</f>
        <v/>
      </c>
      <c r="G78">
        <f>SUMIFS(Raw_Attendance_Data!$S$2:$S$2, Raw_Attendance_Data!$B$2:$B$2, B78, Raw_Attendance_Data!$A$2:$A$2, 1)</f>
        <v/>
      </c>
      <c r="H78">
        <f>MAX(F78-G78, 0)</f>
        <v/>
      </c>
      <c r="I78">
        <f>IF(F78&gt;0, G78/F78, 0)</f>
        <v/>
      </c>
      <c r="J78">
        <f>COUNTIFS(Raw_Attendance_Data!$B$2:$B$2, B78, Raw_Attendance_Data!$A$2:$A$2, 1, Raw_Attendance_Data!$Q$2:$Q$2, 1)</f>
        <v/>
      </c>
      <c r="K78">
        <f>COUNTIFS(Raw_Attendance_Data!$B$2:$B$2, B78, Raw_Attendance_Data!$A$2:$A$2,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IF(OR('Department KPI Analytics'!$G$6="All", D79='Department KPI Analytics'!$G$6), 16, 0)</f>
        <v/>
      </c>
      <c r="G79">
        <f>SUMIFS(Raw_Attendance_Data!$S$2:$S$2, Raw_Attendance_Data!$B$2:$B$2, B79, Raw_Attendance_Data!$A$2:$A$2, 1)</f>
        <v/>
      </c>
      <c r="H79">
        <f>MAX(F79-G79, 0)</f>
        <v/>
      </c>
      <c r="I79">
        <f>IF(F79&gt;0, G79/F79, 0)</f>
        <v/>
      </c>
      <c r="J79">
        <f>COUNTIFS(Raw_Attendance_Data!$B$2:$B$2, B79, Raw_Attendance_Data!$A$2:$A$2, 1, Raw_Attendance_Data!$Q$2:$Q$2, 1)</f>
        <v/>
      </c>
      <c r="K79">
        <f>COUNTIFS(Raw_Attendance_Data!$B$2:$B$2, B79, Raw_Attendance_Data!$A$2:$A$2,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IF(OR('Department KPI Analytics'!$G$6="All", D80='Department KPI Analytics'!$G$6), 16, 0)</f>
        <v/>
      </c>
      <c r="G80">
        <f>SUMIFS(Raw_Attendance_Data!$S$2:$S$2, Raw_Attendance_Data!$B$2:$B$2, B80, Raw_Attendance_Data!$A$2:$A$2, 1)</f>
        <v/>
      </c>
      <c r="H80">
        <f>MAX(F80-G80, 0)</f>
        <v/>
      </c>
      <c r="I80">
        <f>IF(F80&gt;0, G80/F80, 0)</f>
        <v/>
      </c>
      <c r="J80">
        <f>COUNTIFS(Raw_Attendance_Data!$B$2:$B$2, B80, Raw_Attendance_Data!$A$2:$A$2, 1, Raw_Attendance_Data!$Q$2:$Q$2, 1)</f>
        <v/>
      </c>
      <c r="K80">
        <f>COUNTIFS(Raw_Attendance_Data!$B$2:$B$2, B80, Raw_Attendance_Data!$A$2:$A$2,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IF(OR('Department KPI Analytics'!$G$6="All", D81='Department KPI Analytics'!$G$6), 16, 0)</f>
        <v/>
      </c>
      <c r="G81">
        <f>SUMIFS(Raw_Attendance_Data!$S$2:$S$2, Raw_Attendance_Data!$B$2:$B$2, B81, Raw_Attendance_Data!$A$2:$A$2, 1)</f>
        <v/>
      </c>
      <c r="H81">
        <f>MAX(F81-G81, 0)</f>
        <v/>
      </c>
      <c r="I81">
        <f>IF(F81&gt;0, G81/F81, 0)</f>
        <v/>
      </c>
      <c r="J81">
        <f>COUNTIFS(Raw_Attendance_Data!$B$2:$B$2, B81, Raw_Attendance_Data!$A$2:$A$2, 1, Raw_Attendance_Data!$Q$2:$Q$2, 1)</f>
        <v/>
      </c>
      <c r="K81">
        <f>COUNTIFS(Raw_Attendance_Data!$B$2:$B$2, B81, Raw_Attendance_Data!$A$2:$A$2,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IF(OR('Department KPI Analytics'!$G$6="All", D82='Department KPI Analytics'!$G$6), 16, 0)</f>
        <v/>
      </c>
      <c r="G82">
        <f>SUMIFS(Raw_Attendance_Data!$S$2:$S$2, Raw_Attendance_Data!$B$2:$B$2, B82, Raw_Attendance_Data!$A$2:$A$2, 1)</f>
        <v/>
      </c>
      <c r="H82">
        <f>MAX(F82-G82, 0)</f>
        <v/>
      </c>
      <c r="I82">
        <f>IF(F82&gt;0, G82/F82, 0)</f>
        <v/>
      </c>
      <c r="J82">
        <f>COUNTIFS(Raw_Attendance_Data!$B$2:$B$2, B82, Raw_Attendance_Data!$A$2:$A$2, 1, Raw_Attendance_Data!$Q$2:$Q$2, 1)</f>
        <v/>
      </c>
      <c r="K82">
        <f>COUNTIFS(Raw_Attendance_Data!$B$2:$B$2, B82, Raw_Attendance_Data!$A$2:$A$2,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IF(OR('Department KPI Analytics'!$G$6="All", D83='Department KPI Analytics'!$G$6), 16, 0)</f>
        <v/>
      </c>
      <c r="G83">
        <f>SUMIFS(Raw_Attendance_Data!$S$2:$S$2, Raw_Attendance_Data!$B$2:$B$2, B83, Raw_Attendance_Data!$A$2:$A$2, 1)</f>
        <v/>
      </c>
      <c r="H83">
        <f>MAX(F83-G83, 0)</f>
        <v/>
      </c>
      <c r="I83">
        <f>IF(F83&gt;0, G83/F83, 0)</f>
        <v/>
      </c>
      <c r="J83">
        <f>COUNTIFS(Raw_Attendance_Data!$B$2:$B$2, B83, Raw_Attendance_Data!$A$2:$A$2, 1, Raw_Attendance_Data!$Q$2:$Q$2, 1)</f>
        <v/>
      </c>
      <c r="K83">
        <f>COUNTIFS(Raw_Attendance_Data!$B$2:$B$2, B83, Raw_Attendance_Data!$A$2:$A$2,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IF(OR('Department KPI Analytics'!$G$6="All", D84='Department KPI Analytics'!$G$6), 16, 0)</f>
        <v/>
      </c>
      <c r="G84">
        <f>SUMIFS(Raw_Attendance_Data!$S$2:$S$2, Raw_Attendance_Data!$B$2:$B$2, B84, Raw_Attendance_Data!$A$2:$A$2, 1)</f>
        <v/>
      </c>
      <c r="H84">
        <f>MAX(F84-G84, 0)</f>
        <v/>
      </c>
      <c r="I84">
        <f>IF(F84&gt;0, G84/F84, 0)</f>
        <v/>
      </c>
      <c r="J84">
        <f>COUNTIFS(Raw_Attendance_Data!$B$2:$B$2, B84, Raw_Attendance_Data!$A$2:$A$2, 1, Raw_Attendance_Data!$Q$2:$Q$2, 1)</f>
        <v/>
      </c>
      <c r="K84">
        <f>COUNTIFS(Raw_Attendance_Data!$B$2:$B$2, B84, Raw_Attendance_Data!$A$2:$A$2,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IF(OR('Department KPI Analytics'!$G$6="All", D85='Department KPI Analytics'!$G$6), 16, 0)</f>
        <v/>
      </c>
      <c r="G85">
        <f>SUMIFS(Raw_Attendance_Data!$S$2:$S$2, Raw_Attendance_Data!$B$2:$B$2, B85, Raw_Attendance_Data!$A$2:$A$2, 1)</f>
        <v/>
      </c>
      <c r="H85">
        <f>MAX(F85-G85, 0)</f>
        <v/>
      </c>
      <c r="I85">
        <f>IF(F85&gt;0, G85/F85, 0)</f>
        <v/>
      </c>
      <c r="J85">
        <f>COUNTIFS(Raw_Attendance_Data!$B$2:$B$2, B85, Raw_Attendance_Data!$A$2:$A$2, 1, Raw_Attendance_Data!$Q$2:$Q$2, 1)</f>
        <v/>
      </c>
      <c r="K85">
        <f>COUNTIFS(Raw_Attendance_Data!$B$2:$B$2, B85, Raw_Attendance_Data!$A$2:$A$2,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IF(OR('Department KPI Analytics'!$G$6="All", D86='Department KPI Analytics'!$G$6), 16, 0)</f>
        <v/>
      </c>
      <c r="G86">
        <f>SUMIFS(Raw_Attendance_Data!$S$2:$S$2, Raw_Attendance_Data!$B$2:$B$2, B86, Raw_Attendance_Data!$A$2:$A$2, 1)</f>
        <v/>
      </c>
      <c r="H86">
        <f>MAX(F86-G86, 0)</f>
        <v/>
      </c>
      <c r="I86">
        <f>IF(F86&gt;0, G86/F86, 0)</f>
        <v/>
      </c>
      <c r="J86">
        <f>COUNTIFS(Raw_Attendance_Data!$B$2:$B$2, B86, Raw_Attendance_Data!$A$2:$A$2, 1, Raw_Attendance_Data!$Q$2:$Q$2, 1)</f>
        <v/>
      </c>
      <c r="K86">
        <f>COUNTIFS(Raw_Attendance_Data!$B$2:$B$2, B86, Raw_Attendance_Data!$A$2:$A$2,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IF(OR('Department KPI Analytics'!$G$6="All", D87='Department KPI Analytics'!$G$6), 16, 0)</f>
        <v/>
      </c>
      <c r="G87">
        <f>SUMIFS(Raw_Attendance_Data!$S$2:$S$2, Raw_Attendance_Data!$B$2:$B$2, B87, Raw_Attendance_Data!$A$2:$A$2, 1)</f>
        <v/>
      </c>
      <c r="H87">
        <f>MAX(F87-G87, 0)</f>
        <v/>
      </c>
      <c r="I87">
        <f>IF(F87&gt;0, G87/F87, 0)</f>
        <v/>
      </c>
      <c r="J87">
        <f>COUNTIFS(Raw_Attendance_Data!$B$2:$B$2, B87, Raw_Attendance_Data!$A$2:$A$2, 1, Raw_Attendance_Data!$Q$2:$Q$2, 1)</f>
        <v/>
      </c>
      <c r="K87">
        <f>COUNTIFS(Raw_Attendance_Data!$B$2:$B$2, B87, Raw_Attendance_Data!$A$2:$A$2,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IF(OR('Department KPI Analytics'!$G$6="All", D88='Department KPI Analytics'!$G$6), 16, 0)</f>
        <v/>
      </c>
      <c r="G88">
        <f>SUMIFS(Raw_Attendance_Data!$S$2:$S$2, Raw_Attendance_Data!$B$2:$B$2, B88, Raw_Attendance_Data!$A$2:$A$2, 1)</f>
        <v/>
      </c>
      <c r="H88">
        <f>MAX(F88-G88, 0)</f>
        <v/>
      </c>
      <c r="I88">
        <f>IF(F88&gt;0, G88/F88, 0)</f>
        <v/>
      </c>
      <c r="J88">
        <f>COUNTIFS(Raw_Attendance_Data!$B$2:$B$2, B88, Raw_Attendance_Data!$A$2:$A$2, 1, Raw_Attendance_Data!$Q$2:$Q$2, 1)</f>
        <v/>
      </c>
      <c r="K88">
        <f>COUNTIFS(Raw_Attendance_Data!$B$2:$B$2, B88, Raw_Attendance_Data!$A$2:$A$2,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IF(OR('Department KPI Analytics'!$G$6="All", D89='Department KPI Analytics'!$G$6), 16, 0)</f>
        <v/>
      </c>
      <c r="G89">
        <f>SUMIFS(Raw_Attendance_Data!$S$2:$S$2, Raw_Attendance_Data!$B$2:$B$2, B89, Raw_Attendance_Data!$A$2:$A$2, 1)</f>
        <v/>
      </c>
      <c r="H89">
        <f>MAX(F89-G89, 0)</f>
        <v/>
      </c>
      <c r="I89">
        <f>IF(F89&gt;0, G89/F89, 0)</f>
        <v/>
      </c>
      <c r="J89">
        <f>COUNTIFS(Raw_Attendance_Data!$B$2:$B$2, B89, Raw_Attendance_Data!$A$2:$A$2, 1, Raw_Attendance_Data!$Q$2:$Q$2, 1)</f>
        <v/>
      </c>
      <c r="K89">
        <f>COUNTIFS(Raw_Attendance_Data!$B$2:$B$2, B89, Raw_Attendance_Data!$A$2:$A$2,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IF(OR('Department KPI Analytics'!$G$6="All", D90='Department KPI Analytics'!$G$6), 16, 0)</f>
        <v/>
      </c>
      <c r="G90">
        <f>SUMIFS(Raw_Attendance_Data!$S$2:$S$2, Raw_Attendance_Data!$B$2:$B$2, B90, Raw_Attendance_Data!$A$2:$A$2, 1)</f>
        <v/>
      </c>
      <c r="H90">
        <f>MAX(F90-G90, 0)</f>
        <v/>
      </c>
      <c r="I90">
        <f>IF(F90&gt;0, G90/F90, 0)</f>
        <v/>
      </c>
      <c r="J90">
        <f>COUNTIFS(Raw_Attendance_Data!$B$2:$B$2, B90, Raw_Attendance_Data!$A$2:$A$2, 1, Raw_Attendance_Data!$Q$2:$Q$2, 1)</f>
        <v/>
      </c>
      <c r="K90">
        <f>COUNTIFS(Raw_Attendance_Data!$B$2:$B$2, B90, Raw_Attendance_Data!$A$2:$A$2,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IF(OR('Department KPI Analytics'!$G$6="All", D91='Department KPI Analytics'!$G$6), 16, 0)</f>
        <v/>
      </c>
      <c r="G91">
        <f>SUMIFS(Raw_Attendance_Data!$S$2:$S$2, Raw_Attendance_Data!$B$2:$B$2, B91, Raw_Attendance_Data!$A$2:$A$2, 1)</f>
        <v/>
      </c>
      <c r="H91">
        <f>MAX(F91-G91, 0)</f>
        <v/>
      </c>
      <c r="I91">
        <f>IF(F91&gt;0, G91/F91, 0)</f>
        <v/>
      </c>
      <c r="J91">
        <f>COUNTIFS(Raw_Attendance_Data!$B$2:$B$2, B91, Raw_Attendance_Data!$A$2:$A$2, 1, Raw_Attendance_Data!$Q$2:$Q$2, 1)</f>
        <v/>
      </c>
      <c r="K91">
        <f>COUNTIFS(Raw_Attendance_Data!$B$2:$B$2, B91, Raw_Attendance_Data!$A$2:$A$2,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IF(OR('Department KPI Analytics'!$G$6="All", D92='Department KPI Analytics'!$G$6), 16, 0)</f>
        <v/>
      </c>
      <c r="G92">
        <f>SUMIFS(Raw_Attendance_Data!$S$2:$S$2, Raw_Attendance_Data!$B$2:$B$2, B92, Raw_Attendance_Data!$A$2:$A$2, 1)</f>
        <v/>
      </c>
      <c r="H92">
        <f>MAX(F92-G92, 0)</f>
        <v/>
      </c>
      <c r="I92">
        <f>IF(F92&gt;0, G92/F92, 0)</f>
        <v/>
      </c>
      <c r="J92">
        <f>COUNTIFS(Raw_Attendance_Data!$B$2:$B$2, B92, Raw_Attendance_Data!$A$2:$A$2, 1, Raw_Attendance_Data!$Q$2:$Q$2, 1)</f>
        <v/>
      </c>
      <c r="K92">
        <f>COUNTIFS(Raw_Attendance_Data!$B$2:$B$2, B92, Raw_Attendance_Data!$A$2:$A$2,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IF(OR('Department KPI Analytics'!$G$6="All", D93='Department KPI Analytics'!$G$6), 16, 0)</f>
        <v/>
      </c>
      <c r="G93">
        <f>SUMIFS(Raw_Attendance_Data!$S$2:$S$2, Raw_Attendance_Data!$B$2:$B$2, B93, Raw_Attendance_Data!$A$2:$A$2, 1)</f>
        <v/>
      </c>
      <c r="H93">
        <f>MAX(F93-G93, 0)</f>
        <v/>
      </c>
      <c r="I93">
        <f>IF(F93&gt;0, G93/F93, 0)</f>
        <v/>
      </c>
      <c r="J93">
        <f>COUNTIFS(Raw_Attendance_Data!$B$2:$B$2, B93, Raw_Attendance_Data!$A$2:$A$2, 1, Raw_Attendance_Data!$Q$2:$Q$2, 1)</f>
        <v/>
      </c>
      <c r="K93">
        <f>COUNTIFS(Raw_Attendance_Data!$B$2:$B$2, B93, Raw_Attendance_Data!$A$2:$A$2,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2025-2026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2026-06-13T09:53:20Z</dcterms:created>
  <dcterms:modified xmlns:dcterms="http://purl.org/dc/terms/" xmlns:xsi="http://www.w3.org/2001/XMLSchema-instance" xsi:type="dcterms:W3CDTF">2026-06-13T09:53:23Z</dcterms:modified>
</cp:coreProperties>
</file>