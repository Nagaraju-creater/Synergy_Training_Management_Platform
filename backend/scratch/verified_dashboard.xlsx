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KPI Analytics" sheetId="1" state="visible" r:id="rId1"/>
    <sheet xmlns:r="http://schemas.openxmlformats.org/officeDocument/2006/relationships" name="Employee_KPI_Summary" sheetId="2" state="visible" r:id="rId2"/>
    <sheet xmlns:r="http://schemas.openxmlformats.org/officeDocument/2006/relationships" name="Raw_Attendance_Data" sheetId="3" state="visible" r:id="rId3"/>
    <sheet xmlns:r="http://schemas.openxmlformats.org/officeDocument/2006/relationships" name="Filter_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sz val="12"/>
    </font>
    <font>
      <name val="Segoe UI"/>
      <b val="1"/>
      <color rgb="00FFFFFF"/>
      <sz val="16"/>
    </font>
    <font>
      <name val="Segoe UI"/>
      <i val="1"/>
      <color rgb="00D9EAF7"/>
      <sz val="10"/>
    </font>
    <font>
      <name val="Segoe UI"/>
      <b val="1"/>
      <color rgb="001F4E79"/>
      <sz val="10"/>
    </font>
    <font>
      <name val="Segoe UI"/>
      <b val="1"/>
      <color rgb="005A5A5A"/>
      <sz val="9"/>
    </font>
    <font>
      <name val="Segoe UI"/>
      <b val="1"/>
      <color rgb="005A5A5A"/>
      <sz val="8"/>
    </font>
    <font>
      <name val="Segoe UI"/>
      <b val="1"/>
      <color rgb="001F4E79"/>
      <sz val="13"/>
    </font>
    <font>
      <name val="Segoe UI"/>
      <b val="1"/>
      <color rgb="00FFFFFF"/>
      <sz val="11"/>
    </font>
    <font>
      <name val="Segoe UI"/>
      <b val="1"/>
      <color rgb="001F4E79"/>
      <sz val="9"/>
    </font>
    <font>
      <name val="Segoe UI"/>
      <color rgb="001F2937"/>
      <sz val="9"/>
    </font>
    <font>
      <name val="Segoe UI"/>
      <b val="1"/>
      <color rgb="00FFFFFF"/>
      <sz val="10"/>
    </font>
    <font>
      <name val="Segoe UI"/>
      <i val="1"/>
      <color rgb="001F4E79"/>
      <sz val="9.5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E9ECEF"/>
      </patternFill>
    </fill>
    <fill>
      <patternFill patternType="solid">
        <fgColor rgb="00FFF2CC"/>
      </patternFill>
    </fill>
    <fill>
      <patternFill patternType="solid">
        <fgColor rgb="00F2F4F7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8B5CF6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0" fillId="6" borderId="2" pivotButton="0" quotePrefix="0" xfId="0"/>
    <xf numFmtId="3" fontId="7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3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9" fillId="3" borderId="3" applyAlignment="1" pivotButton="0" quotePrefix="0" xfId="0">
      <alignment horizontal="right" vertical="center"/>
    </xf>
    <xf numFmtId="0" fontId="9" fillId="3" borderId="3" applyAlignment="1" pivotButton="0" quotePrefix="0" xfId="0">
      <alignment horizontal="left" vertical="center"/>
    </xf>
    <xf numFmtId="3" fontId="9" fillId="3" borderId="3" applyAlignment="1" pivotButton="0" quotePrefix="0" xfId="0">
      <alignment horizontal="right" vertical="center"/>
    </xf>
    <xf numFmtId="164" fontId="9" fillId="3" borderId="3" applyAlignment="1" pivotButton="0" quotePrefix="0" xfId="0">
      <alignment horizontal="right" vertical="center"/>
    </xf>
    <xf numFmtId="165" fontId="9" fillId="3" borderId="3" applyAlignment="1" pivotButton="0" quotePrefix="0" xfId="0">
      <alignment horizontal="right" vertical="center"/>
    </xf>
    <xf numFmtId="0" fontId="9" fillId="3" borderId="3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dxfs count="5">
    <dxf>
      <font>
        <name val="Segoe UI"/>
        <b val="1"/>
        <color rgb="00065F46"/>
        <sz val="9"/>
      </font>
      <fill>
        <patternFill patternType="solid">
          <fgColor rgb="00D1FAE5"/>
        </patternFill>
      </fill>
    </dxf>
    <dxf>
      <font>
        <name val="Segoe UI"/>
        <b val="1"/>
        <color rgb="00385723"/>
        <sz val="9"/>
      </font>
      <fill>
        <patternFill patternType="solid">
          <fgColor rgb="00E2F0D9"/>
        </patternFill>
      </fill>
    </dxf>
    <dxf>
      <font>
        <name val="Segoe UI"/>
        <b val="1"/>
        <color rgb="007F6000"/>
        <sz val="9"/>
      </font>
      <fill>
        <patternFill patternType="solid">
          <fgColor rgb="00FFF2CC"/>
        </patternFill>
      </fill>
    </dxf>
    <dxf>
      <font>
        <name val="Segoe UI"/>
        <b val="1"/>
        <color rgb="00C65911"/>
        <sz val="9"/>
      </font>
      <fill>
        <patternFill patternType="solid">
          <fgColor rgb="00FCE4D6"/>
        </patternFill>
      </fill>
    </dxf>
    <dxf>
      <font>
        <name val="Segoe UI"/>
        <b val="1"/>
        <color rgb="00991B1B"/>
        <sz val="9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Organization Learning Contribution by Department</a:t>
            </a:r>
          </a:p>
        </rich>
      </tx>
    </title>
    <plotArea>
      <pieChart>
        <varyColors val="1"/>
        <ser>
          <idx val="0"/>
          <order val="0"/>
          <tx>
            <strRef>
              <f>'Department KPI Analytics'!E16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Analytics'!$B$17:$B$33</f>
            </numRef>
          </cat>
          <val>
            <numRef>
              <f>'Department KPI Analytics'!$E$17:$E$33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Hours vs Actual Hours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KPI Analytics'!D16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Analytics'!$B$17:$B$33</f>
            </numRef>
          </cat>
          <val>
            <numRef>
              <f>'Department KPI Analytics'!$D$17:$D$33</f>
            </numRef>
          </val>
        </ser>
        <ser>
          <idx val="1"/>
          <order val="1"/>
          <tx>
            <strRef>
              <f>'Department KPI Analytics'!E16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Analytics'!$B$17:$B$33</f>
            </numRef>
          </cat>
          <val>
            <numRef>
              <f>'Department KPI Analytics'!$E$17:$E$33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Compliance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KPI Analytics'!C38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Analytics'!$B$39:$B$43</f>
            </numRef>
          </cat>
          <val>
            <numRef>
              <f>'Department KPI Analytics'!$C$39:$C$43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13</col>
      <colOff>0</colOff>
      <row>14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29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44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4" customWidth="1" min="10" max="10"/>
    <col width="18" customWidth="1" min="11" max="11"/>
    <col width="4" customWidth="1" min="12" max="12"/>
    <col width="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40" customHeight="1">
      <c r="A1" s="1" t="inlineStr">
        <is>
          <t>ORGANIZATION LEARNING &amp; KPI ANALYTICS DASHBOARD</t>
        </is>
      </c>
    </row>
    <row r="2" ht="24" customHeight="1">
      <c r="A2" s="2" t="inlineStr">
        <is>
          <t>Executive Business Intelligence &amp; Learning Compliance Report</t>
        </is>
      </c>
    </row>
    <row r="4" ht="24" customHeight="1">
      <c r="A4" s="3" t="inlineStr">
        <is>
          <t>Interactive Filters (Select values to dynamically update the dashboard)</t>
        </is>
      </c>
    </row>
    <row r="5">
      <c r="B5" s="4" t="inlineStr">
        <is>
          <t>Financial Year</t>
        </is>
      </c>
      <c r="C5" s="5" t="n"/>
      <c r="D5" s="4" t="inlineStr">
        <is>
          <t>Quarter</t>
        </is>
      </c>
      <c r="E5" s="4" t="inlineStr">
        <is>
          <t>Month</t>
        </is>
      </c>
      <c r="F5" s="5" t="n"/>
      <c r="G5" s="4" t="inlineStr">
        <is>
          <t>Department</t>
        </is>
      </c>
      <c r="H5" s="5" t="n"/>
      <c r="I5" s="5" t="n"/>
    </row>
    <row r="6">
      <c r="B6" s="6" t="inlineStr">
        <is>
          <t>All</t>
        </is>
      </c>
      <c r="C6" s="5" t="n"/>
      <c r="D6" s="6" t="inlineStr">
        <is>
          <t>All</t>
        </is>
      </c>
      <c r="E6" s="6" t="inlineStr">
        <is>
          <t>All</t>
        </is>
      </c>
      <c r="F6" s="5" t="n"/>
      <c r="G6" s="6" t="inlineStr">
        <is>
          <t>All</t>
        </is>
      </c>
      <c r="H6" s="5" t="n"/>
      <c r="I6" s="5" t="n"/>
    </row>
    <row r="7">
      <c r="B7" s="4" t="inlineStr">
        <is>
          <t>Training Category</t>
        </is>
      </c>
      <c r="C7" s="5" t="n"/>
      <c r="D7" s="5" t="n"/>
      <c r="E7" s="4" t="inlineStr">
        <is>
          <t>Manager</t>
        </is>
      </c>
      <c r="F7" s="5" t="n"/>
      <c r="G7" s="5" t="n"/>
      <c r="H7" s="4" t="inlineStr">
        <is>
          <t>Training Type</t>
        </is>
      </c>
      <c r="I7" s="5" t="n"/>
    </row>
    <row r="8">
      <c r="B8" s="6" t="inlineStr">
        <is>
          <t>All</t>
        </is>
      </c>
      <c r="C8" s="5" t="n"/>
      <c r="D8" s="5" t="n"/>
      <c r="E8" s="6" t="inlineStr">
        <is>
          <t>All</t>
        </is>
      </c>
      <c r="F8" s="5" t="n"/>
      <c r="G8" s="5" t="n"/>
      <c r="H8" s="6" t="inlineStr">
        <is>
          <t>All</t>
        </is>
      </c>
      <c r="I8" s="5" t="n"/>
    </row>
    <row r="10">
      <c r="A10" s="7" t="inlineStr">
        <is>
          <t>TOTAL EMPLOYEES</t>
        </is>
      </c>
      <c r="B10" s="8" t="n"/>
      <c r="C10" s="7" t="inlineStr">
        <is>
          <t>TOTAL TARGET HOURS</t>
        </is>
      </c>
      <c r="D10" s="8" t="n"/>
      <c r="E10" s="7" t="inlineStr">
        <is>
          <t>TOTAL ACTUAL HOURS</t>
        </is>
      </c>
      <c r="F10" s="8" t="n"/>
      <c r="G10" s="7" t="inlineStr">
        <is>
          <t>TOTAL REMAINING HOURS</t>
        </is>
      </c>
      <c r="H10" s="8" t="n"/>
      <c r="I10" s="7" t="inlineStr">
        <is>
          <t>OVERALL ACHIEVEMENT %</t>
        </is>
      </c>
      <c r="J10" s="8" t="n"/>
      <c r="K10" s="8" t="n"/>
      <c r="L10" s="8" t="n"/>
    </row>
    <row r="11">
      <c r="A11" s="9">
        <f>COUNTIFS(Employee_KPI_Summary!$F$6:$F$93, "&gt;0")</f>
        <v/>
      </c>
      <c r="B11" s="8" t="n"/>
      <c r="C11" s="10">
        <f>SUM(Employee_KPI_Summary!$F$6:$F$93)</f>
        <v/>
      </c>
      <c r="D11" s="8" t="n"/>
      <c r="E11" s="10">
        <f>SUM(Employee_KPI_Summary!$G$6:$G$93)</f>
        <v/>
      </c>
      <c r="F11" s="8" t="n"/>
      <c r="G11" s="10">
        <f>SUM(Employee_KPI_Summary!$H$6:$H$93)</f>
        <v/>
      </c>
      <c r="H11" s="8" t="n"/>
      <c r="I11" s="11">
        <f>IF(C11&gt;0, E11/C11, 0)</f>
        <v/>
      </c>
      <c r="J11" s="8" t="n"/>
      <c r="K11" s="8" t="n"/>
      <c r="L11" s="8" t="n"/>
    </row>
    <row r="12">
      <c r="A12" s="7" t="inlineStr">
        <is>
          <t>LEARNING COMPLIANCE %</t>
        </is>
      </c>
      <c r="B12" s="8" t="n"/>
      <c r="C12" s="7" t="inlineStr">
        <is>
          <t>TRAININGS CONDUCTED</t>
        </is>
      </c>
      <c r="D12" s="8" t="n"/>
      <c r="E12" s="7" t="inlineStr">
        <is>
          <t>TOTAL ATTENDANCE %</t>
        </is>
      </c>
      <c r="F12" s="8" t="n"/>
      <c r="G12" s="7" t="inlineStr">
        <is>
          <t>TOP PERFORMING DEPT</t>
        </is>
      </c>
      <c r="H12" s="8" t="n"/>
      <c r="I12" s="7" t="inlineStr">
        <is>
          <t>LOWEST PERFORMING DEPT</t>
        </is>
      </c>
      <c r="J12" s="8" t="n"/>
      <c r="K12" s="8" t="n"/>
      <c r="L12" s="8" t="n"/>
    </row>
    <row r="13">
      <c r="A13" s="11">
        <f>IF(COUNTIFS(Employee_KPI_Summary!$F$6:$F$93, "&gt;0")&gt;0, COUNTIFS(Employee_KPI_Summary!$F$6:$F$93, "&gt;0", Employee_KPI_Summary!$I$6:$I$93, "&gt;=1.0")/COUNTIFS(Employee_KPI_Summary!$F$6:$F$93, "&gt;0"), 1.0)</f>
        <v/>
      </c>
      <c r="B13" s="8" t="n"/>
      <c r="C13" s="9">
        <f>SUM(Raw_Attendance_Data!$P$2:$P$3)</f>
        <v/>
      </c>
      <c r="D13" s="8" t="n"/>
      <c r="E13" s="11">
        <f>IF(SUM(Employee_KPI_Summary!$K$6:$K$93)&gt;0, SUM(Employee_KPI_Summary!$J$6:$J$93)/SUM(Employee_KPI_Summary!$K$6:$K$93), 1.0)</f>
        <v/>
      </c>
      <c r="F13" s="8" t="n"/>
      <c r="G13" s="12">
        <f>INDEX(B17:B33, MATCH(MAX(G17:G33), G17:G33, 0))</f>
        <v/>
      </c>
      <c r="H13" s="8" t="n"/>
      <c r="I13" s="12">
        <f>INDEX(B17:B33, MATCH(MIN(K17:K33), K17:K33, 0))</f>
        <v/>
      </c>
      <c r="J13" s="8" t="n"/>
      <c r="K13" s="8" t="n"/>
      <c r="L13" s="8" t="n"/>
    </row>
    <row r="15" ht="24" customHeight="1">
      <c r="A15" s="13" t="inlineStr">
        <is>
          <t>DEPARTMENT CONTRIBUTION &amp; KPI SUMMARY</t>
        </is>
      </c>
    </row>
    <row r="16" ht="20" customHeight="1">
      <c r="A16" s="14" t="inlineStr">
        <is>
          <t>S.No</t>
        </is>
      </c>
      <c r="B16" s="14" t="inlineStr">
        <is>
          <t>Department</t>
        </is>
      </c>
      <c r="C16" s="14" t="inlineStr">
        <is>
          <t>Employees</t>
        </is>
      </c>
      <c r="D16" s="14" t="inlineStr">
        <is>
          <t>Target Hours</t>
        </is>
      </c>
      <c r="E16" s="14" t="inlineStr">
        <is>
          <t>Actual Hours</t>
        </is>
      </c>
      <c r="F16" s="14" t="inlineStr">
        <is>
          <t>Remaining Hours</t>
        </is>
      </c>
      <c r="G16" s="14" t="inlineStr">
        <is>
          <t>Achievement %</t>
        </is>
      </c>
      <c r="H16" s="14" t="inlineStr">
        <is>
          <t>Attendance %</t>
        </is>
      </c>
      <c r="I16" s="14" t="inlineStr">
        <is>
          <t>KPI Status</t>
        </is>
      </c>
      <c r="J16" s="14" t="inlineStr">
        <is>
          <t>Rank Score</t>
        </is>
      </c>
      <c r="K16" s="14" t="inlineStr">
        <is>
          <t>Filtered Achievement</t>
        </is>
      </c>
    </row>
    <row r="17" ht="20" customHeight="1">
      <c r="A17" s="15">
        <f>ROW() - 16</f>
        <v/>
      </c>
      <c r="B17" s="16" t="inlineStr">
        <is>
          <t>Accounts</t>
        </is>
      </c>
      <c r="C17" s="17">
        <f>COUNTIFS(Employee_KPI_Summary!$D$6:$D$93, B17, Employee_KPI_Summary!$F$6:$F$93, "&gt;0")</f>
        <v/>
      </c>
      <c r="D17" s="18">
        <f>SUMIFS(Employee_KPI_Summary!$F$6:$F$93, Employee_KPI_Summary!$D$6:$D$93, B17)</f>
        <v/>
      </c>
      <c r="E17" s="18">
        <f>SUMIFS(Employee_KPI_Summary!$G$6:$G$93, Employee_KPI_Summary!$D$6:$D$93, B17)</f>
        <v/>
      </c>
      <c r="F17" s="18">
        <f>SUMIFS(Employee_KPI_Summary!$H$6:$H$93, Employee_KPI_Summary!$D$6:$D$93, B17)</f>
        <v/>
      </c>
      <c r="G17" s="19">
        <f>IF(D17&gt;0, E17/D17, 0)</f>
        <v/>
      </c>
      <c r="H17" s="19">
        <f>IF(SUMIFS(Employee_KPI_Summary!$K$6:$K$93, Employee_KPI_Summary!$D$6:$D$93, B17)&gt;0, SUMIFS(Employee_KPI_Summary!$J$6:$J$93, Employee_KPI_Summary!$D$6:$D$93, B17)/SUMIFS(Employee_KPI_Summary!$K$6:$K$93, Employee_KPI_Summary!$D$6:$D$93, B17), 1.0)</f>
        <v/>
      </c>
      <c r="I17" s="20">
        <f>IF(G17&gt;=1.0, "Achieved", IF(G17&gt;=0.75, "Good", IF(G17&gt;=0.5, "Moderate", IF(G17&gt;=0.25, "Low", "Critical"))))</f>
        <v/>
      </c>
      <c r="J17" s="17">
        <f>G17+(1000-ROW())/1000000</f>
        <v/>
      </c>
      <c r="K17" s="17">
        <f>IF(C17&gt;0, G17+ROW()/1000000, 9.99)</f>
        <v/>
      </c>
    </row>
    <row r="18" ht="20" customHeight="1">
      <c r="A18" s="15">
        <f>ROW() - 16</f>
        <v/>
      </c>
      <c r="B18" s="16" t="inlineStr">
        <is>
          <t>Casting</t>
        </is>
      </c>
      <c r="C18" s="17">
        <f>COUNTIFS(Employee_KPI_Summary!$D$6:$D$93, B18, Employee_KPI_Summary!$F$6:$F$93, "&gt;0")</f>
        <v/>
      </c>
      <c r="D18" s="18">
        <f>SUMIFS(Employee_KPI_Summary!$F$6:$F$93, Employee_KPI_Summary!$D$6:$D$93, B18)</f>
        <v/>
      </c>
      <c r="E18" s="18">
        <f>SUMIFS(Employee_KPI_Summary!$G$6:$G$93, Employee_KPI_Summary!$D$6:$D$93, B18)</f>
        <v/>
      </c>
      <c r="F18" s="18">
        <f>SUMIFS(Employee_KPI_Summary!$H$6:$H$93, Employee_KPI_Summary!$D$6:$D$93, B18)</f>
        <v/>
      </c>
      <c r="G18" s="19">
        <f>IF(D18&gt;0, E18/D18, 0)</f>
        <v/>
      </c>
      <c r="H18" s="19">
        <f>IF(SUMIFS(Employee_KPI_Summary!$K$6:$K$93, Employee_KPI_Summary!$D$6:$D$93, B18)&gt;0, SUMIFS(Employee_KPI_Summary!$J$6:$J$93, Employee_KPI_Summary!$D$6:$D$93, B18)/SUMIFS(Employee_KPI_Summary!$K$6:$K$93, Employee_KPI_Summary!$D$6:$D$93, B18), 1.0)</f>
        <v/>
      </c>
      <c r="I18" s="20">
        <f>IF(G18&gt;=1.0, "Achieved", IF(G18&gt;=0.75, "Good", IF(G18&gt;=0.5, "Moderate", IF(G18&gt;=0.25, "Low", "Critical"))))</f>
        <v/>
      </c>
      <c r="J18" s="17">
        <f>G18+(1000-ROW())/1000000</f>
        <v/>
      </c>
      <c r="K18" s="17">
        <f>IF(C18&gt;0, G18+ROW()/1000000, 9.99)</f>
        <v/>
      </c>
    </row>
    <row r="19" ht="20" customHeight="1">
      <c r="A19" s="15">
        <f>ROW() - 16</f>
        <v/>
      </c>
      <c r="B19" s="16" t="inlineStr">
        <is>
          <t>Commercial</t>
        </is>
      </c>
      <c r="C19" s="17">
        <f>COUNTIFS(Employee_KPI_Summary!$D$6:$D$93, B19, Employee_KPI_Summary!$F$6:$F$93, "&gt;0")</f>
        <v/>
      </c>
      <c r="D19" s="18">
        <f>SUMIFS(Employee_KPI_Summary!$F$6:$F$93, Employee_KPI_Summary!$D$6:$D$93, B19)</f>
        <v/>
      </c>
      <c r="E19" s="18">
        <f>SUMIFS(Employee_KPI_Summary!$G$6:$G$93, Employee_KPI_Summary!$D$6:$D$93, B19)</f>
        <v/>
      </c>
      <c r="F19" s="18">
        <f>SUMIFS(Employee_KPI_Summary!$H$6:$H$93, Employee_KPI_Summary!$D$6:$D$93, B19)</f>
        <v/>
      </c>
      <c r="G19" s="19">
        <f>IF(D19&gt;0, E19/D19, 0)</f>
        <v/>
      </c>
      <c r="H19" s="19">
        <f>IF(SUMIFS(Employee_KPI_Summary!$K$6:$K$93, Employee_KPI_Summary!$D$6:$D$93, B19)&gt;0, SUMIFS(Employee_KPI_Summary!$J$6:$J$93, Employee_KPI_Summary!$D$6:$D$93, B19)/SUMIFS(Employee_KPI_Summary!$K$6:$K$93, Employee_KPI_Summary!$D$6:$D$93, B19), 1.0)</f>
        <v/>
      </c>
      <c r="I19" s="20">
        <f>IF(G19&gt;=1.0, "Achieved", IF(G19&gt;=0.75, "Good", IF(G19&gt;=0.5, "Moderate", IF(G19&gt;=0.25, "Low", "Critical"))))</f>
        <v/>
      </c>
      <c r="J19" s="17">
        <f>G19+(1000-ROW())/1000000</f>
        <v/>
      </c>
      <c r="K19" s="17">
        <f>IF(C19&gt;0, G19+ROW()/1000000, 9.99)</f>
        <v/>
      </c>
    </row>
    <row r="20" ht="20" customHeight="1">
      <c r="A20" s="15">
        <f>ROW() - 16</f>
        <v/>
      </c>
      <c r="B20" s="16" t="inlineStr">
        <is>
          <t>CRM</t>
        </is>
      </c>
      <c r="C20" s="17">
        <f>COUNTIFS(Employee_KPI_Summary!$D$6:$D$93, B20, Employee_KPI_Summary!$F$6:$F$93, "&gt;0")</f>
        <v/>
      </c>
      <c r="D20" s="18">
        <f>SUMIFS(Employee_KPI_Summary!$F$6:$F$93, Employee_KPI_Summary!$D$6:$D$93, B20)</f>
        <v/>
      </c>
      <c r="E20" s="18">
        <f>SUMIFS(Employee_KPI_Summary!$G$6:$G$93, Employee_KPI_Summary!$D$6:$D$93, B20)</f>
        <v/>
      </c>
      <c r="F20" s="18">
        <f>SUMIFS(Employee_KPI_Summary!$H$6:$H$93, Employee_KPI_Summary!$D$6:$D$93, B20)</f>
        <v/>
      </c>
      <c r="G20" s="19">
        <f>IF(D20&gt;0, E20/D20, 0)</f>
        <v/>
      </c>
      <c r="H20" s="19">
        <f>IF(SUMIFS(Employee_KPI_Summary!$K$6:$K$93, Employee_KPI_Summary!$D$6:$D$93, B20)&gt;0, SUMIFS(Employee_KPI_Summary!$J$6:$J$93, Employee_KPI_Summary!$D$6:$D$93, B20)/SUMIFS(Employee_KPI_Summary!$K$6:$K$93, Employee_KPI_Summary!$D$6:$D$93, B20), 1.0)</f>
        <v/>
      </c>
      <c r="I20" s="20">
        <f>IF(G20&gt;=1.0, "Achieved", IF(G20&gt;=0.75, "Good", IF(G20&gt;=0.5, "Moderate", IF(G20&gt;=0.25, "Low", "Critical"))))</f>
        <v/>
      </c>
      <c r="J20" s="17">
        <f>G20+(1000-ROW())/1000000</f>
        <v/>
      </c>
      <c r="K20" s="17">
        <f>IF(C20&gt;0, G20+ROW()/1000000, 9.99)</f>
        <v/>
      </c>
    </row>
    <row r="21" ht="20" customHeight="1">
      <c r="A21" s="15">
        <f>ROW() - 16</f>
        <v/>
      </c>
      <c r="B21" s="16" t="inlineStr">
        <is>
          <t>Driver</t>
        </is>
      </c>
      <c r="C21" s="17">
        <f>COUNTIFS(Employee_KPI_Summary!$D$6:$D$93, B21, Employee_KPI_Summary!$F$6:$F$93, "&gt;0")</f>
        <v/>
      </c>
      <c r="D21" s="18">
        <f>SUMIFS(Employee_KPI_Summary!$F$6:$F$93, Employee_KPI_Summary!$D$6:$D$93, B21)</f>
        <v/>
      </c>
      <c r="E21" s="18">
        <f>SUMIFS(Employee_KPI_Summary!$G$6:$G$93, Employee_KPI_Summary!$D$6:$D$93, B21)</f>
        <v/>
      </c>
      <c r="F21" s="18">
        <f>SUMIFS(Employee_KPI_Summary!$H$6:$H$93, Employee_KPI_Summary!$D$6:$D$93, B21)</f>
        <v/>
      </c>
      <c r="G21" s="19">
        <f>IF(D21&gt;0, E21/D21, 0)</f>
        <v/>
      </c>
      <c r="H21" s="19">
        <f>IF(SUMIFS(Employee_KPI_Summary!$K$6:$K$93, Employee_KPI_Summary!$D$6:$D$93, B21)&gt;0, SUMIFS(Employee_KPI_Summary!$J$6:$J$93, Employee_KPI_Summary!$D$6:$D$93, B21)/SUMIFS(Employee_KPI_Summary!$K$6:$K$93, Employee_KPI_Summary!$D$6:$D$93, B21), 1.0)</f>
        <v/>
      </c>
      <c r="I21" s="20">
        <f>IF(G21&gt;=1.0, "Achieved", IF(G21&gt;=0.75, "Good", IF(G21&gt;=0.5, "Moderate", IF(G21&gt;=0.25, "Low", "Critical"))))</f>
        <v/>
      </c>
      <c r="J21" s="17">
        <f>G21+(1000-ROW())/1000000</f>
        <v/>
      </c>
      <c r="K21" s="17">
        <f>IF(C21&gt;0, G21+ROW()/1000000, 9.99)</f>
        <v/>
      </c>
    </row>
    <row r="22" ht="20" customHeight="1">
      <c r="A22" s="15">
        <f>ROW() - 16</f>
        <v/>
      </c>
      <c r="B22" s="16" t="inlineStr">
        <is>
          <t>HR</t>
        </is>
      </c>
      <c r="C22" s="17">
        <f>COUNTIFS(Employee_KPI_Summary!$D$6:$D$93, B22, Employee_KPI_Summary!$F$6:$F$93, "&gt;0")</f>
        <v/>
      </c>
      <c r="D22" s="18">
        <f>SUMIFS(Employee_KPI_Summary!$F$6:$F$93, Employee_KPI_Summary!$D$6:$D$93, B22)</f>
        <v/>
      </c>
      <c r="E22" s="18">
        <f>SUMIFS(Employee_KPI_Summary!$G$6:$G$93, Employee_KPI_Summary!$D$6:$D$93, B22)</f>
        <v/>
      </c>
      <c r="F22" s="18">
        <f>SUMIFS(Employee_KPI_Summary!$H$6:$H$93, Employee_KPI_Summary!$D$6:$D$93, B22)</f>
        <v/>
      </c>
      <c r="G22" s="19">
        <f>IF(D22&gt;0, E22/D22, 0)</f>
        <v/>
      </c>
      <c r="H22" s="19">
        <f>IF(SUMIFS(Employee_KPI_Summary!$K$6:$K$93, Employee_KPI_Summary!$D$6:$D$93, B22)&gt;0, SUMIFS(Employee_KPI_Summary!$J$6:$J$93, Employee_KPI_Summary!$D$6:$D$93, B22)/SUMIFS(Employee_KPI_Summary!$K$6:$K$93, Employee_KPI_Summary!$D$6:$D$93, B22), 1.0)</f>
        <v/>
      </c>
      <c r="I22" s="20">
        <f>IF(G22&gt;=1.0, "Achieved", IF(G22&gt;=0.75, "Good", IF(G22&gt;=0.5, "Moderate", IF(G22&gt;=0.25, "Low", "Critical"))))</f>
        <v/>
      </c>
      <c r="J22" s="17">
        <f>G22+(1000-ROW())/1000000</f>
        <v/>
      </c>
      <c r="K22" s="17">
        <f>IF(C22&gt;0, G22+ROW()/1000000, 9.99)</f>
        <v/>
      </c>
    </row>
    <row r="23" ht="20" customHeight="1">
      <c r="A23" s="15">
        <f>ROW() - 16</f>
        <v/>
      </c>
      <c r="B23" s="16" t="inlineStr">
        <is>
          <t>IT Support</t>
        </is>
      </c>
      <c r="C23" s="17">
        <f>COUNTIFS(Employee_KPI_Summary!$D$6:$D$93, B23, Employee_KPI_Summary!$F$6:$F$93, "&gt;0")</f>
        <v/>
      </c>
      <c r="D23" s="18">
        <f>SUMIFS(Employee_KPI_Summary!$F$6:$F$93, Employee_KPI_Summary!$D$6:$D$93, B23)</f>
        <v/>
      </c>
      <c r="E23" s="18">
        <f>SUMIFS(Employee_KPI_Summary!$G$6:$G$93, Employee_KPI_Summary!$D$6:$D$93, B23)</f>
        <v/>
      </c>
      <c r="F23" s="18">
        <f>SUMIFS(Employee_KPI_Summary!$H$6:$H$93, Employee_KPI_Summary!$D$6:$D$93, B23)</f>
        <v/>
      </c>
      <c r="G23" s="19">
        <f>IF(D23&gt;0, E23/D23, 0)</f>
        <v/>
      </c>
      <c r="H23" s="19">
        <f>IF(SUMIFS(Employee_KPI_Summary!$K$6:$K$93, Employee_KPI_Summary!$D$6:$D$93, B23)&gt;0, SUMIFS(Employee_KPI_Summary!$J$6:$J$93, Employee_KPI_Summary!$D$6:$D$93, B23)/SUMIFS(Employee_KPI_Summary!$K$6:$K$93, Employee_KPI_Summary!$D$6:$D$93, B23), 1.0)</f>
        <v/>
      </c>
      <c r="I23" s="20">
        <f>IF(G23&gt;=1.0, "Achieved", IF(G23&gt;=0.75, "Good", IF(G23&gt;=0.5, "Moderate", IF(G23&gt;=0.25, "Low", "Critical"))))</f>
        <v/>
      </c>
      <c r="J23" s="17">
        <f>G23+(1000-ROW())/1000000</f>
        <v/>
      </c>
      <c r="K23" s="17">
        <f>IF(C23&gt;0, G23+ROW()/1000000, 9.99)</f>
        <v/>
      </c>
    </row>
    <row r="24" ht="20" customHeight="1">
      <c r="A24" s="15">
        <f>ROW() - 16</f>
        <v/>
      </c>
      <c r="B24" s="16" t="inlineStr">
        <is>
          <t>Maintenance</t>
        </is>
      </c>
      <c r="C24" s="17">
        <f>COUNTIFS(Employee_KPI_Summary!$D$6:$D$93, B24, Employee_KPI_Summary!$F$6:$F$93, "&gt;0")</f>
        <v/>
      </c>
      <c r="D24" s="18">
        <f>SUMIFS(Employee_KPI_Summary!$F$6:$F$93, Employee_KPI_Summary!$D$6:$D$93, B24)</f>
        <v/>
      </c>
      <c r="E24" s="18">
        <f>SUMIFS(Employee_KPI_Summary!$G$6:$G$93, Employee_KPI_Summary!$D$6:$D$93, B24)</f>
        <v/>
      </c>
      <c r="F24" s="18">
        <f>SUMIFS(Employee_KPI_Summary!$H$6:$H$93, Employee_KPI_Summary!$D$6:$D$93, B24)</f>
        <v/>
      </c>
      <c r="G24" s="19">
        <f>IF(D24&gt;0, E24/D24, 0)</f>
        <v/>
      </c>
      <c r="H24" s="19">
        <f>IF(SUMIFS(Employee_KPI_Summary!$K$6:$K$93, Employee_KPI_Summary!$D$6:$D$93, B24)&gt;0, SUMIFS(Employee_KPI_Summary!$J$6:$J$93, Employee_KPI_Summary!$D$6:$D$93, B24)/SUMIFS(Employee_KPI_Summary!$K$6:$K$93, Employee_KPI_Summary!$D$6:$D$93, B24), 1.0)</f>
        <v/>
      </c>
      <c r="I24" s="20">
        <f>IF(G24&gt;=1.0, "Achieved", IF(G24&gt;=0.75, "Good", IF(G24&gt;=0.5, "Moderate", IF(G24&gt;=0.25, "Low", "Critical"))))</f>
        <v/>
      </c>
      <c r="J24" s="17">
        <f>G24+(1000-ROW())/1000000</f>
        <v/>
      </c>
      <c r="K24" s="17">
        <f>IF(C24&gt;0, G24+ROW()/1000000, 9.99)</f>
        <v/>
      </c>
    </row>
    <row r="25" ht="20" customHeight="1">
      <c r="A25" s="15">
        <f>ROW() - 16</f>
        <v/>
      </c>
      <c r="B25" s="16" t="inlineStr">
        <is>
          <t>Management</t>
        </is>
      </c>
      <c r="C25" s="17">
        <f>COUNTIFS(Employee_KPI_Summary!$D$6:$D$93, B25, Employee_KPI_Summary!$F$6:$F$93, "&gt;0")</f>
        <v/>
      </c>
      <c r="D25" s="18">
        <f>SUMIFS(Employee_KPI_Summary!$F$6:$F$93, Employee_KPI_Summary!$D$6:$D$93, B25)</f>
        <v/>
      </c>
      <c r="E25" s="18">
        <f>SUMIFS(Employee_KPI_Summary!$G$6:$G$93, Employee_KPI_Summary!$D$6:$D$93, B25)</f>
        <v/>
      </c>
      <c r="F25" s="18">
        <f>SUMIFS(Employee_KPI_Summary!$H$6:$H$93, Employee_KPI_Summary!$D$6:$D$93, B25)</f>
        <v/>
      </c>
      <c r="G25" s="19">
        <f>IF(D25&gt;0, E25/D25, 0)</f>
        <v/>
      </c>
      <c r="H25" s="19">
        <f>IF(SUMIFS(Employee_KPI_Summary!$K$6:$K$93, Employee_KPI_Summary!$D$6:$D$93, B25)&gt;0, SUMIFS(Employee_KPI_Summary!$J$6:$J$93, Employee_KPI_Summary!$D$6:$D$93, B25)/SUMIFS(Employee_KPI_Summary!$K$6:$K$93, Employee_KPI_Summary!$D$6:$D$93, B25), 1.0)</f>
        <v/>
      </c>
      <c r="I25" s="20">
        <f>IF(G25&gt;=1.0, "Achieved", IF(G25&gt;=0.75, "Good", IF(G25&gt;=0.5, "Moderate", IF(G25&gt;=0.25, "Low", "Critical"))))</f>
        <v/>
      </c>
      <c r="J25" s="17">
        <f>G25+(1000-ROW())/1000000</f>
        <v/>
      </c>
      <c r="K25" s="17">
        <f>IF(C25&gt;0, G25+ROW()/1000000, 9.99)</f>
        <v/>
      </c>
    </row>
    <row r="26" ht="20" customHeight="1">
      <c r="A26" s="15">
        <f>ROW() - 16</f>
        <v/>
      </c>
      <c r="B26" s="16" t="inlineStr">
        <is>
          <t>Marketing</t>
        </is>
      </c>
      <c r="C26" s="17">
        <f>COUNTIFS(Employee_KPI_Summary!$D$6:$D$93, B26, Employee_KPI_Summary!$F$6:$F$93, "&gt;0")</f>
        <v/>
      </c>
      <c r="D26" s="18">
        <f>SUMIFS(Employee_KPI_Summary!$F$6:$F$93, Employee_KPI_Summary!$D$6:$D$93, B26)</f>
        <v/>
      </c>
      <c r="E26" s="18">
        <f>SUMIFS(Employee_KPI_Summary!$G$6:$G$93, Employee_KPI_Summary!$D$6:$D$93, B26)</f>
        <v/>
      </c>
      <c r="F26" s="18">
        <f>SUMIFS(Employee_KPI_Summary!$H$6:$H$93, Employee_KPI_Summary!$D$6:$D$93, B26)</f>
        <v/>
      </c>
      <c r="G26" s="19">
        <f>IF(D26&gt;0, E26/D26, 0)</f>
        <v/>
      </c>
      <c r="H26" s="19">
        <f>IF(SUMIFS(Employee_KPI_Summary!$K$6:$K$93, Employee_KPI_Summary!$D$6:$D$93, B26)&gt;0, SUMIFS(Employee_KPI_Summary!$J$6:$J$93, Employee_KPI_Summary!$D$6:$D$93, B26)/SUMIFS(Employee_KPI_Summary!$K$6:$K$93, Employee_KPI_Summary!$D$6:$D$93, B26), 1.0)</f>
        <v/>
      </c>
      <c r="I26" s="20">
        <f>IF(G26&gt;=1.0, "Achieved", IF(G26&gt;=0.75, "Good", IF(G26&gt;=0.5, "Moderate", IF(G26&gt;=0.25, "Low", "Critical"))))</f>
        <v/>
      </c>
      <c r="J26" s="17">
        <f>G26+(1000-ROW())/1000000</f>
        <v/>
      </c>
      <c r="K26" s="17">
        <f>IF(C26&gt;0, G26+ROW()/1000000, 9.99)</f>
        <v/>
      </c>
    </row>
    <row r="27" ht="20" customHeight="1">
      <c r="A27" s="15">
        <f>ROW() - 16</f>
        <v/>
      </c>
      <c r="B27" s="16" t="inlineStr">
        <is>
          <t>NPD</t>
        </is>
      </c>
      <c r="C27" s="17">
        <f>COUNTIFS(Employee_KPI_Summary!$D$6:$D$93, B27, Employee_KPI_Summary!$F$6:$F$93, "&gt;0")</f>
        <v/>
      </c>
      <c r="D27" s="18">
        <f>SUMIFS(Employee_KPI_Summary!$F$6:$F$93, Employee_KPI_Summary!$D$6:$D$93, B27)</f>
        <v/>
      </c>
      <c r="E27" s="18">
        <f>SUMIFS(Employee_KPI_Summary!$G$6:$G$93, Employee_KPI_Summary!$D$6:$D$93, B27)</f>
        <v/>
      </c>
      <c r="F27" s="18">
        <f>SUMIFS(Employee_KPI_Summary!$H$6:$H$93, Employee_KPI_Summary!$D$6:$D$93, B27)</f>
        <v/>
      </c>
      <c r="G27" s="19">
        <f>IF(D27&gt;0, E27/D27, 0)</f>
        <v/>
      </c>
      <c r="H27" s="19">
        <f>IF(SUMIFS(Employee_KPI_Summary!$K$6:$K$93, Employee_KPI_Summary!$D$6:$D$93, B27)&gt;0, SUMIFS(Employee_KPI_Summary!$J$6:$J$93, Employee_KPI_Summary!$D$6:$D$93, B27)/SUMIFS(Employee_KPI_Summary!$K$6:$K$93, Employee_KPI_Summary!$D$6:$D$93, B27), 1.0)</f>
        <v/>
      </c>
      <c r="I27" s="20">
        <f>IF(G27&gt;=1.0, "Achieved", IF(G27&gt;=0.75, "Good", IF(G27&gt;=0.5, "Moderate", IF(G27&gt;=0.25, "Low", "Critical"))))</f>
        <v/>
      </c>
      <c r="J27" s="17">
        <f>G27+(1000-ROW())/1000000</f>
        <v/>
      </c>
      <c r="K27" s="17">
        <f>IF(C27&gt;0, G27+ROW()/1000000, 9.99)</f>
        <v/>
      </c>
    </row>
    <row r="28" ht="20" customHeight="1">
      <c r="A28" s="15">
        <f>ROW() - 16</f>
        <v/>
      </c>
      <c r="B28" s="16" t="inlineStr">
        <is>
          <t>Operations</t>
        </is>
      </c>
      <c r="C28" s="17">
        <f>COUNTIFS(Employee_KPI_Summary!$D$6:$D$93, B28, Employee_KPI_Summary!$F$6:$F$93, "&gt;0")</f>
        <v/>
      </c>
      <c r="D28" s="18">
        <f>SUMIFS(Employee_KPI_Summary!$F$6:$F$93, Employee_KPI_Summary!$D$6:$D$93, B28)</f>
        <v/>
      </c>
      <c r="E28" s="18">
        <f>SUMIFS(Employee_KPI_Summary!$G$6:$G$93, Employee_KPI_Summary!$D$6:$D$93, B28)</f>
        <v/>
      </c>
      <c r="F28" s="18">
        <f>SUMIFS(Employee_KPI_Summary!$H$6:$H$93, Employee_KPI_Summary!$D$6:$D$93, B28)</f>
        <v/>
      </c>
      <c r="G28" s="19">
        <f>IF(D28&gt;0, E28/D28, 0)</f>
        <v/>
      </c>
      <c r="H28" s="19">
        <f>IF(SUMIFS(Employee_KPI_Summary!$K$6:$K$93, Employee_KPI_Summary!$D$6:$D$93, B28)&gt;0, SUMIFS(Employee_KPI_Summary!$J$6:$J$93, Employee_KPI_Summary!$D$6:$D$93, B28)/SUMIFS(Employee_KPI_Summary!$K$6:$K$93, Employee_KPI_Summary!$D$6:$D$93, B28), 1.0)</f>
        <v/>
      </c>
      <c r="I28" s="20">
        <f>IF(G28&gt;=1.0, "Achieved", IF(G28&gt;=0.75, "Good", IF(G28&gt;=0.5, "Moderate", IF(G28&gt;=0.25, "Low", "Critical"))))</f>
        <v/>
      </c>
      <c r="J28" s="17">
        <f>G28+(1000-ROW())/1000000</f>
        <v/>
      </c>
      <c r="K28" s="17">
        <f>IF(C28&gt;0, G28+ROW()/1000000, 9.99)</f>
        <v/>
      </c>
    </row>
    <row r="29" ht="20" customHeight="1">
      <c r="A29" s="15">
        <f>ROW() - 16</f>
        <v/>
      </c>
      <c r="B29" s="16" t="inlineStr">
        <is>
          <t>Purchase Castings</t>
        </is>
      </c>
      <c r="C29" s="17">
        <f>COUNTIFS(Employee_KPI_Summary!$D$6:$D$93, B29, Employee_KPI_Summary!$F$6:$F$93, "&gt;0")</f>
        <v/>
      </c>
      <c r="D29" s="18">
        <f>SUMIFS(Employee_KPI_Summary!$F$6:$F$93, Employee_KPI_Summary!$D$6:$D$93, B29)</f>
        <v/>
      </c>
      <c r="E29" s="18">
        <f>SUMIFS(Employee_KPI_Summary!$G$6:$G$93, Employee_KPI_Summary!$D$6:$D$93, B29)</f>
        <v/>
      </c>
      <c r="F29" s="18">
        <f>SUMIFS(Employee_KPI_Summary!$H$6:$H$93, Employee_KPI_Summary!$D$6:$D$93, B29)</f>
        <v/>
      </c>
      <c r="G29" s="19">
        <f>IF(D29&gt;0, E29/D29, 0)</f>
        <v/>
      </c>
      <c r="H29" s="19">
        <f>IF(SUMIFS(Employee_KPI_Summary!$K$6:$K$93, Employee_KPI_Summary!$D$6:$D$93, B29)&gt;0, SUMIFS(Employee_KPI_Summary!$J$6:$J$93, Employee_KPI_Summary!$D$6:$D$93, B29)/SUMIFS(Employee_KPI_Summary!$K$6:$K$93, Employee_KPI_Summary!$D$6:$D$93, B29), 1.0)</f>
        <v/>
      </c>
      <c r="I29" s="20">
        <f>IF(G29&gt;=1.0, "Achieved", IF(G29&gt;=0.75, "Good", IF(G29&gt;=0.5, "Moderate", IF(G29&gt;=0.25, "Low", "Critical"))))</f>
        <v/>
      </c>
      <c r="J29" s="17">
        <f>G29+(1000-ROW())/1000000</f>
        <v/>
      </c>
      <c r="K29" s="17">
        <f>IF(C29&gt;0, G29+ROW()/1000000, 9.99)</f>
        <v/>
      </c>
    </row>
    <row r="30" ht="20" customHeight="1">
      <c r="A30" s="15">
        <f>ROW() - 16</f>
        <v/>
      </c>
      <c r="B30" s="16" t="inlineStr">
        <is>
          <t>QA</t>
        </is>
      </c>
      <c r="C30" s="17">
        <f>COUNTIFS(Employee_KPI_Summary!$D$6:$D$93, B30, Employee_KPI_Summary!$F$6:$F$93, "&gt;0")</f>
        <v/>
      </c>
      <c r="D30" s="18">
        <f>SUMIFS(Employee_KPI_Summary!$F$6:$F$93, Employee_KPI_Summary!$D$6:$D$93, B30)</f>
        <v/>
      </c>
      <c r="E30" s="18">
        <f>SUMIFS(Employee_KPI_Summary!$G$6:$G$93, Employee_KPI_Summary!$D$6:$D$93, B30)</f>
        <v/>
      </c>
      <c r="F30" s="18">
        <f>SUMIFS(Employee_KPI_Summary!$H$6:$H$93, Employee_KPI_Summary!$D$6:$D$93, B30)</f>
        <v/>
      </c>
      <c r="G30" s="19">
        <f>IF(D30&gt;0, E30/D30, 0)</f>
        <v/>
      </c>
      <c r="H30" s="19">
        <f>IF(SUMIFS(Employee_KPI_Summary!$K$6:$K$93, Employee_KPI_Summary!$D$6:$D$93, B30)&gt;0, SUMIFS(Employee_KPI_Summary!$J$6:$J$93, Employee_KPI_Summary!$D$6:$D$93, B30)/SUMIFS(Employee_KPI_Summary!$K$6:$K$93, Employee_KPI_Summary!$D$6:$D$93, B30), 1.0)</f>
        <v/>
      </c>
      <c r="I30" s="20">
        <f>IF(G30&gt;=1.0, "Achieved", IF(G30&gt;=0.75, "Good", IF(G30&gt;=0.5, "Moderate", IF(G30&gt;=0.25, "Low", "Critical"))))</f>
        <v/>
      </c>
      <c r="J30" s="17">
        <f>G30+(1000-ROW())/1000000</f>
        <v/>
      </c>
      <c r="K30" s="17">
        <f>IF(C30&gt;0, G30+ROW()/1000000, 9.99)</f>
        <v/>
      </c>
    </row>
    <row r="31" ht="20" customHeight="1">
      <c r="A31" s="15">
        <f>ROW() - 16</f>
        <v/>
      </c>
      <c r="B31" s="16" t="inlineStr">
        <is>
          <t>RFQ</t>
        </is>
      </c>
      <c r="C31" s="17">
        <f>COUNTIFS(Employee_KPI_Summary!$D$6:$D$93, B31, Employee_KPI_Summary!$F$6:$F$93, "&gt;0")</f>
        <v/>
      </c>
      <c r="D31" s="18">
        <f>SUMIFS(Employee_KPI_Summary!$F$6:$F$93, Employee_KPI_Summary!$D$6:$D$93, B31)</f>
        <v/>
      </c>
      <c r="E31" s="18">
        <f>SUMIFS(Employee_KPI_Summary!$G$6:$G$93, Employee_KPI_Summary!$D$6:$D$93, B31)</f>
        <v/>
      </c>
      <c r="F31" s="18">
        <f>SUMIFS(Employee_KPI_Summary!$H$6:$H$93, Employee_KPI_Summary!$D$6:$D$93, B31)</f>
        <v/>
      </c>
      <c r="G31" s="19">
        <f>IF(D31&gt;0, E31/D31, 0)</f>
        <v/>
      </c>
      <c r="H31" s="19">
        <f>IF(SUMIFS(Employee_KPI_Summary!$K$6:$K$93, Employee_KPI_Summary!$D$6:$D$93, B31)&gt;0, SUMIFS(Employee_KPI_Summary!$J$6:$J$93, Employee_KPI_Summary!$D$6:$D$93, B31)/SUMIFS(Employee_KPI_Summary!$K$6:$K$93, Employee_KPI_Summary!$D$6:$D$93, B31), 1.0)</f>
        <v/>
      </c>
      <c r="I31" s="20">
        <f>IF(G31&gt;=1.0, "Achieved", IF(G31&gt;=0.75, "Good", IF(G31&gt;=0.5, "Moderate", IF(G31&gt;=0.25, "Low", "Critical"))))</f>
        <v/>
      </c>
      <c r="J31" s="17">
        <f>G31+(1000-ROW())/1000000</f>
        <v/>
      </c>
      <c r="K31" s="17">
        <f>IF(C31&gt;0, G31+ROW()/1000000, 9.99)</f>
        <v/>
      </c>
    </row>
    <row r="32" ht="20" customHeight="1">
      <c r="A32" s="15">
        <f>ROW() - 16</f>
        <v/>
      </c>
      <c r="B32" s="16" t="inlineStr">
        <is>
          <t>Sourcing</t>
        </is>
      </c>
      <c r="C32" s="17">
        <f>COUNTIFS(Employee_KPI_Summary!$D$6:$D$93, B32, Employee_KPI_Summary!$F$6:$F$93, "&gt;0")</f>
        <v/>
      </c>
      <c r="D32" s="18">
        <f>SUMIFS(Employee_KPI_Summary!$F$6:$F$93, Employee_KPI_Summary!$D$6:$D$93, B32)</f>
        <v/>
      </c>
      <c r="E32" s="18">
        <f>SUMIFS(Employee_KPI_Summary!$G$6:$G$93, Employee_KPI_Summary!$D$6:$D$93, B32)</f>
        <v/>
      </c>
      <c r="F32" s="18">
        <f>SUMIFS(Employee_KPI_Summary!$H$6:$H$93, Employee_KPI_Summary!$D$6:$D$93, B32)</f>
        <v/>
      </c>
      <c r="G32" s="19">
        <f>IF(D32&gt;0, E32/D32, 0)</f>
        <v/>
      </c>
      <c r="H32" s="19">
        <f>IF(SUMIFS(Employee_KPI_Summary!$K$6:$K$93, Employee_KPI_Summary!$D$6:$D$93, B32)&gt;0, SUMIFS(Employee_KPI_Summary!$J$6:$J$93, Employee_KPI_Summary!$D$6:$D$93, B32)/SUMIFS(Employee_KPI_Summary!$K$6:$K$93, Employee_KPI_Summary!$D$6:$D$93, B32), 1.0)</f>
        <v/>
      </c>
      <c r="I32" s="20">
        <f>IF(G32&gt;=1.0, "Achieved", IF(G32&gt;=0.75, "Good", IF(G32&gt;=0.5, "Moderate", IF(G32&gt;=0.25, "Low", "Critical"))))</f>
        <v/>
      </c>
      <c r="J32" s="17">
        <f>G32+(1000-ROW())/1000000</f>
        <v/>
      </c>
      <c r="K32" s="17">
        <f>IF(C32&gt;0, G32+ROW()/1000000, 9.99)</f>
        <v/>
      </c>
    </row>
    <row r="33" ht="20" customHeight="1">
      <c r="A33" s="15">
        <f>ROW() - 16</f>
        <v/>
      </c>
      <c r="B33" s="16" t="inlineStr">
        <is>
          <t>Stores</t>
        </is>
      </c>
      <c r="C33" s="17">
        <f>COUNTIFS(Employee_KPI_Summary!$D$6:$D$93, B33, Employee_KPI_Summary!$F$6:$F$93, "&gt;0")</f>
        <v/>
      </c>
      <c r="D33" s="18">
        <f>SUMIFS(Employee_KPI_Summary!$F$6:$F$93, Employee_KPI_Summary!$D$6:$D$93, B33)</f>
        <v/>
      </c>
      <c r="E33" s="18">
        <f>SUMIFS(Employee_KPI_Summary!$G$6:$G$93, Employee_KPI_Summary!$D$6:$D$93, B33)</f>
        <v/>
      </c>
      <c r="F33" s="18">
        <f>SUMIFS(Employee_KPI_Summary!$H$6:$H$93, Employee_KPI_Summary!$D$6:$D$93, B33)</f>
        <v/>
      </c>
      <c r="G33" s="19">
        <f>IF(D33&gt;0, E33/D33, 0)</f>
        <v/>
      </c>
      <c r="H33" s="19">
        <f>IF(SUMIFS(Employee_KPI_Summary!$K$6:$K$93, Employee_KPI_Summary!$D$6:$D$93, B33)&gt;0, SUMIFS(Employee_KPI_Summary!$J$6:$J$93, Employee_KPI_Summary!$D$6:$D$93, B33)/SUMIFS(Employee_KPI_Summary!$K$6:$K$93, Employee_KPI_Summary!$D$6:$D$93, B33), 1.0)</f>
        <v/>
      </c>
      <c r="I33" s="20">
        <f>IF(G33&gt;=1.0, "Achieved", IF(G33&gt;=0.75, "Good", IF(G33&gt;=0.5, "Moderate", IF(G33&gt;=0.25, "Low", "Critical"))))</f>
        <v/>
      </c>
      <c r="J33" s="17">
        <f>G33+(1000-ROW())/1000000</f>
        <v/>
      </c>
      <c r="K33" s="17">
        <f>IF(C33&gt;0, G33+ROW()/1000000, 9.99)</f>
        <v/>
      </c>
    </row>
    <row r="34" ht="22" customHeight="1">
      <c r="A34" s="21" t="inlineStr"/>
      <c r="B34" s="22" t="inlineStr">
        <is>
          <t>Total</t>
        </is>
      </c>
      <c r="C34" s="23">
        <f>SUM(C17:C33)</f>
        <v/>
      </c>
      <c r="D34" s="24">
        <f>SUM(D17:D33)</f>
        <v/>
      </c>
      <c r="E34" s="24">
        <f>SUM(E17:E33)</f>
        <v/>
      </c>
      <c r="F34" s="24">
        <f>SUM(F17:F33)</f>
        <v/>
      </c>
      <c r="G34" s="25">
        <f>IF(D34&gt;0, E34/D34, 0)</f>
        <v/>
      </c>
      <c r="H34" s="25">
        <f>IF(SUM(Employee_KPI_Summary!$K$6:$K$93)&gt;0, SUM(Employee_KPI_Summary!$J$6:$J$93)/SUM(Employee_KPI_Summary!$K$6:$K$93), 1.0)</f>
        <v/>
      </c>
      <c r="I34" s="26">
        <f>IF(G34&gt;=1.0, "Achieved", IF(G34&gt;=0.75, "Good", IF(G34&gt;=0.5, "Moderate", IF(G34&gt;=0.25, "Low", "Critical"))))</f>
        <v/>
      </c>
      <c r="J34" s="21" t="inlineStr"/>
      <c r="K34" s="21" t="inlineStr"/>
    </row>
    <row r="37" ht="22" customHeight="1">
      <c r="A37" s="27" t="inlineStr">
        <is>
          <t>Top Performing Departments</t>
        </is>
      </c>
      <c r="G37" s="28" t="inlineStr">
        <is>
          <t>Departments Requiring Attention</t>
        </is>
      </c>
    </row>
    <row r="38" ht="20" customHeight="1">
      <c r="A38" s="29" t="inlineStr">
        <is>
          <t>Rank</t>
        </is>
      </c>
      <c r="B38" s="29" t="inlineStr">
        <is>
          <t>Department</t>
        </is>
      </c>
      <c r="C38" s="29" t="inlineStr">
        <is>
          <t>Achievement %</t>
        </is>
      </c>
      <c r="D38" s="29" t="inlineStr">
        <is>
          <t>Actual Hours</t>
        </is>
      </c>
      <c r="E38" s="29" t="inlineStr">
        <is>
          <t>Attendance %</t>
        </is>
      </c>
      <c r="G38" s="29" t="inlineStr">
        <is>
          <t>Department</t>
        </is>
      </c>
      <c r="H38" s="29" t="inlineStr">
        <is>
          <t>Remaining Hours</t>
        </is>
      </c>
      <c r="I38" s="29" t="inlineStr">
        <is>
          <t>Compliance %</t>
        </is>
      </c>
      <c r="J38" s="29" t="inlineStr">
        <is>
          <t>Risk Indicator</t>
        </is>
      </c>
    </row>
    <row r="39" ht="20" customHeight="1">
      <c r="A39" s="20" t="n">
        <v>1</v>
      </c>
      <c r="B39" s="16">
        <f>INDEX($B$17:$B$33, MATCH(LARGE($J$17:$J$33, A39), $J$17:$J$33, 0))</f>
        <v/>
      </c>
      <c r="C39" s="19">
        <f>INDEX($G$17:$G$33, MATCH(LARGE($J$17:$J$33, A39), $J$17:$J$33, 0))</f>
        <v/>
      </c>
      <c r="D39" s="18">
        <f>INDEX($E$17:$E$33, MATCH(LARGE($J$17:$J$33, A39), $J$17:$J$33, 0))</f>
        <v/>
      </c>
      <c r="E39" s="19">
        <f>INDEX($H$17:$H$33, MATCH(LARGE($J$17:$J$33, A39), $J$17:$J$33, 0))</f>
        <v/>
      </c>
      <c r="G39" s="16">
        <f>INDEX($B$17:$B$33, MATCH(SMALL($K$17:$K$33, 1), $K$17:$K$33, 0))</f>
        <v/>
      </c>
      <c r="H39" s="18">
        <f>INDEX($F$17:$F$33, MATCH(SMALL($K$17:$K$33, 1), $K$17:$K$33, 0))</f>
        <v/>
      </c>
      <c r="I39" s="19">
        <f>INDEX($G$17:$G$33, MATCH(SMALL($K$17:$K$33, 1), $K$17:$K$33, 0))</f>
        <v/>
      </c>
      <c r="J39" s="20">
        <f>IF(I39&lt;0.5, "🔴 Critical Risk", IF(I39&lt;0.75, "🟡 Moderate Risk", "🟢 Low Risk"))</f>
        <v/>
      </c>
    </row>
    <row r="40" ht="20" customHeight="1">
      <c r="A40" s="20" t="n">
        <v>2</v>
      </c>
      <c r="B40" s="16">
        <f>INDEX($B$17:$B$33, MATCH(LARGE($J$17:$J$33, A40), $J$17:$J$33, 0))</f>
        <v/>
      </c>
      <c r="C40" s="19">
        <f>INDEX($G$17:$G$33, MATCH(LARGE($J$17:$J$33, A40), $J$17:$J$33, 0))</f>
        <v/>
      </c>
      <c r="D40" s="18">
        <f>INDEX($E$17:$E$33, MATCH(LARGE($J$17:$J$33, A40), $J$17:$J$33, 0))</f>
        <v/>
      </c>
      <c r="E40" s="19">
        <f>INDEX($H$17:$H$33, MATCH(LARGE($J$17:$J$33, A40), $J$17:$J$33, 0))</f>
        <v/>
      </c>
      <c r="G40" s="16">
        <f>INDEX($B$17:$B$33, MATCH(SMALL($K$17:$K$33, 2), $K$17:$K$33, 0))</f>
        <v/>
      </c>
      <c r="H40" s="18">
        <f>INDEX($F$17:$F$33, MATCH(SMALL($K$17:$K$33, 2), $K$17:$K$33, 0))</f>
        <v/>
      </c>
      <c r="I40" s="19">
        <f>INDEX($G$17:$G$33, MATCH(SMALL($K$17:$K$33, 2), $K$17:$K$33, 0))</f>
        <v/>
      </c>
      <c r="J40" s="20">
        <f>IF(I40&lt;0.5, "🔴 Critical Risk", IF(I40&lt;0.75, "🟡 Moderate Risk", "🟢 Low Risk"))</f>
        <v/>
      </c>
    </row>
    <row r="41" ht="20" customHeight="1">
      <c r="A41" s="20" t="n">
        <v>3</v>
      </c>
      <c r="B41" s="16">
        <f>INDEX($B$17:$B$33, MATCH(LARGE($J$17:$J$33, A41), $J$17:$J$33, 0))</f>
        <v/>
      </c>
      <c r="C41" s="19">
        <f>INDEX($G$17:$G$33, MATCH(LARGE($J$17:$J$33, A41), $J$17:$J$33, 0))</f>
        <v/>
      </c>
      <c r="D41" s="18">
        <f>INDEX($E$17:$E$33, MATCH(LARGE($J$17:$J$33, A41), $J$17:$J$33, 0))</f>
        <v/>
      </c>
      <c r="E41" s="19">
        <f>INDEX($H$17:$H$33, MATCH(LARGE($J$17:$J$33, A41), $J$17:$J$33, 0))</f>
        <v/>
      </c>
      <c r="G41" s="16">
        <f>INDEX($B$17:$B$33, MATCH(SMALL($K$17:$K$33, 3), $K$17:$K$33, 0))</f>
        <v/>
      </c>
      <c r="H41" s="18">
        <f>INDEX($F$17:$F$33, MATCH(SMALL($K$17:$K$33, 3), $K$17:$K$33, 0))</f>
        <v/>
      </c>
      <c r="I41" s="19">
        <f>INDEX($G$17:$G$33, MATCH(SMALL($K$17:$K$33, 3), $K$17:$K$33, 0))</f>
        <v/>
      </c>
      <c r="J41" s="20">
        <f>IF(I41&lt;0.5, "🔴 Critical Risk", IF(I41&lt;0.75, "🟡 Moderate Risk", "🟢 Low Risk"))</f>
        <v/>
      </c>
    </row>
    <row r="42" ht="20" customHeight="1">
      <c r="A42" s="20" t="n">
        <v>4</v>
      </c>
      <c r="B42" s="16">
        <f>INDEX($B$17:$B$33, MATCH(LARGE($J$17:$J$33, A42), $J$17:$J$33, 0))</f>
        <v/>
      </c>
      <c r="C42" s="19">
        <f>INDEX($G$17:$G$33, MATCH(LARGE($J$17:$J$33, A42), $J$17:$J$33, 0))</f>
        <v/>
      </c>
      <c r="D42" s="18">
        <f>INDEX($E$17:$E$33, MATCH(LARGE($J$17:$J$33, A42), $J$17:$J$33, 0))</f>
        <v/>
      </c>
      <c r="E42" s="19">
        <f>INDEX($H$17:$H$33, MATCH(LARGE($J$17:$J$33, A42), $J$17:$J$33, 0))</f>
        <v/>
      </c>
      <c r="G42" s="16">
        <f>INDEX($B$17:$B$33, MATCH(SMALL($K$17:$K$33, 4), $K$17:$K$33, 0))</f>
        <v/>
      </c>
      <c r="H42" s="18">
        <f>INDEX($F$17:$F$33, MATCH(SMALL($K$17:$K$33, 4), $K$17:$K$33, 0))</f>
        <v/>
      </c>
      <c r="I42" s="19">
        <f>INDEX($G$17:$G$33, MATCH(SMALL($K$17:$K$33, 4), $K$17:$K$33, 0))</f>
        <v/>
      </c>
      <c r="J42" s="20">
        <f>IF(I42&lt;0.5, "🔴 Critical Risk", IF(I42&lt;0.75, "🟡 Moderate Risk", "🟢 Low Risk"))</f>
        <v/>
      </c>
    </row>
    <row r="43" ht="20" customHeight="1">
      <c r="A43" s="20" t="n">
        <v>5</v>
      </c>
      <c r="B43" s="16">
        <f>INDEX($B$17:$B$33, MATCH(LARGE($J$17:$J$33, A43), $J$17:$J$33, 0))</f>
        <v/>
      </c>
      <c r="C43" s="19">
        <f>INDEX($G$17:$G$33, MATCH(LARGE($J$17:$J$33, A43), $J$17:$J$33, 0))</f>
        <v/>
      </c>
      <c r="D43" s="18">
        <f>INDEX($E$17:$E$33, MATCH(LARGE($J$17:$J$33, A43), $J$17:$J$33, 0))</f>
        <v/>
      </c>
      <c r="E43" s="19">
        <f>INDEX($H$17:$H$33, MATCH(LARGE($J$17:$J$33, A43), $J$17:$J$33, 0))</f>
        <v/>
      </c>
      <c r="G43" s="16">
        <f>INDEX($B$17:$B$33, MATCH(SMALL($K$17:$K$33, 5), $K$17:$K$33, 0))</f>
        <v/>
      </c>
      <c r="H43" s="18">
        <f>INDEX($F$17:$F$33, MATCH(SMALL($K$17:$K$33, 5), $K$17:$K$33, 0))</f>
        <v/>
      </c>
      <c r="I43" s="19">
        <f>INDEX($G$17:$G$33, MATCH(SMALL($K$17:$K$33, 5), $K$17:$K$33, 0))</f>
        <v/>
      </c>
      <c r="J43" s="20">
        <f>IF(I43&lt;0.5, "🔴 Critical Risk", IF(I43&lt;0.75, "🟡 Moderate Risk", "🟢 Low Risk"))</f>
        <v/>
      </c>
    </row>
    <row r="46" ht="22" customHeight="1">
      <c r="A46" s="30" t="inlineStr">
        <is>
          <t>Monthly Learning Trends (FY)</t>
        </is>
      </c>
      <c r="G46" s="31" t="inlineStr">
        <is>
          <t>Executive KPI Insights</t>
        </is>
      </c>
    </row>
    <row r="47" ht="20" customHeight="1">
      <c r="A47" s="29" t="inlineStr">
        <is>
          <t>Month</t>
        </is>
      </c>
      <c r="B47" s="29" t="inlineStr">
        <is>
          <t>Target Hours</t>
        </is>
      </c>
      <c r="C47" s="29" t="inlineStr">
        <is>
          <t>Actual Hours</t>
        </is>
      </c>
      <c r="D47" s="29" t="inlineStr">
        <is>
          <t>Achievement %</t>
        </is>
      </c>
    </row>
    <row r="48" ht="24" customHeight="1">
      <c r="A48" s="16" t="inlineStr">
        <is>
          <t>April</t>
        </is>
      </c>
      <c r="B48" s="18">
        <f>$A$11 * 1.33</f>
        <v/>
      </c>
      <c r="C48" s="18">
        <f>SUMIFS(Raw_Attendance_Data!$S$2:$S$3, Raw_Attendance_Data!$I$2:$I$3, A48, Raw_Attendance_Data!$A$2:$A$3, 1)</f>
        <v/>
      </c>
      <c r="D48" s="19">
        <f>IF(B48&gt;0, C48/B48, 0)</f>
        <v/>
      </c>
      <c r="G48" s="32">
        <f>"• " &amp; INDEX(B17:B33, MATCH(MAX(E17:E33), E17:E33, 0)) &amp; " contributed the highest learning hours (" &amp; TEXT(MAX(E17:E33), "#,##0") &amp; " hours)."</f>
        <v/>
      </c>
      <c r="H48" s="33" t="n"/>
      <c r="I48" s="33" t="n"/>
      <c r="J48" s="33" t="n"/>
      <c r="K48" s="33" t="n"/>
    </row>
    <row r="49" ht="24" customHeight="1">
      <c r="A49" s="16" t="inlineStr">
        <is>
          <t>May</t>
        </is>
      </c>
      <c r="B49" s="18">
        <f>$A$11 * 1.33</f>
        <v/>
      </c>
      <c r="C49" s="18">
        <f>SUMIFS(Raw_Attendance_Data!$S$2:$S$3, Raw_Attendance_Data!$I$2:$I$3, A49, Raw_Attendance_Data!$A$2:$A$3, 1)</f>
        <v/>
      </c>
      <c r="D49" s="19">
        <f>IF(B49&gt;0, C49/B49, 0)</f>
        <v/>
      </c>
      <c r="G49" s="32">
        <f>"• " &amp; INDEX(B17:B33, MATCH(MIN(K17:K33), K17:K33, 0)) &amp; " is " &amp; TEXT(MAX(0, 1-MIN(K17:K33)), "0%") &amp; " below annual learning target."</f>
        <v/>
      </c>
      <c r="H49" s="33" t="n"/>
      <c r="I49" s="33" t="n"/>
      <c r="J49" s="33" t="n"/>
      <c r="K49" s="33" t="n"/>
    </row>
    <row r="50" ht="24" customHeight="1">
      <c r="A50" s="16" t="inlineStr">
        <is>
          <t>June</t>
        </is>
      </c>
      <c r="B50" s="18">
        <f>$A$11 * 1.33</f>
        <v/>
      </c>
      <c r="C50" s="18">
        <f>SUMIFS(Raw_Attendance_Data!$S$2:$S$3, Raw_Attendance_Data!$I$2:$I$3, A50, Raw_Attendance_Data!$A$2:$A$3, 1)</f>
        <v/>
      </c>
      <c r="D50" s="19">
        <f>IF(B50&gt;0, C50/B50, 0)</f>
        <v/>
      </c>
      <c r="G50" s="32">
        <f>"• " &amp; INDEX(B17:B33, MATCH(MAX(G17:G33), G17:G33, 0)) &amp; " achieved " &amp; TEXT(MAX(G17:G33), "0.0%") &amp; " learning compliance."</f>
        <v/>
      </c>
      <c r="H50" s="33" t="n"/>
      <c r="I50" s="33" t="n"/>
      <c r="J50" s="33" t="n"/>
      <c r="K50" s="33" t="n"/>
    </row>
    <row r="51" ht="24" customHeight="1">
      <c r="A51" s="16" t="inlineStr">
        <is>
          <t>July</t>
        </is>
      </c>
      <c r="B51" s="18">
        <f>$A$11 * 1.33</f>
        <v/>
      </c>
      <c r="C51" s="18">
        <f>SUMIFS(Raw_Attendance_Data!$S$2:$S$3, Raw_Attendance_Data!$I$2:$I$3, A51, Raw_Attendance_Data!$A$2:$A$3, 1)</f>
        <v/>
      </c>
      <c r="D51" s="19">
        <f>IF(B51&gt;0, C51/B51, 0)</f>
        <v/>
      </c>
      <c r="G51" s="32">
        <f>"• Organization-wide learning completion stands at " &amp; TEXT(A13, "0.0%") &amp; "."</f>
        <v/>
      </c>
      <c r="H51" s="33" t="n"/>
      <c r="I51" s="33" t="n"/>
      <c r="J51" s="33" t="n"/>
      <c r="K51" s="33" t="n"/>
    </row>
    <row r="52" ht="18" customHeight="1">
      <c r="A52" s="16" t="inlineStr">
        <is>
          <t>August</t>
        </is>
      </c>
      <c r="B52" s="18">
        <f>$A$11 * 1.33</f>
        <v/>
      </c>
      <c r="C52" s="18">
        <f>SUMIFS(Raw_Attendance_Data!$S$2:$S$3, Raw_Attendance_Data!$I$2:$I$3, A52, Raw_Attendance_Data!$A$2:$A$3, 1)</f>
        <v/>
      </c>
      <c r="D52" s="19">
        <f>IF(B52&gt;0, C52/B52, 0)</f>
        <v/>
      </c>
    </row>
    <row r="53" ht="18" customHeight="1">
      <c r="A53" s="16" t="inlineStr">
        <is>
          <t>September</t>
        </is>
      </c>
      <c r="B53" s="18">
        <f>$A$11 * 1.33</f>
        <v/>
      </c>
      <c r="C53" s="18">
        <f>SUMIFS(Raw_Attendance_Data!$S$2:$S$3, Raw_Attendance_Data!$I$2:$I$3, A53, Raw_Attendance_Data!$A$2:$A$3, 1)</f>
        <v/>
      </c>
      <c r="D53" s="19">
        <f>IF(B53&gt;0, C53/B53, 0)</f>
        <v/>
      </c>
    </row>
    <row r="54" ht="18" customHeight="1">
      <c r="A54" s="16" t="inlineStr">
        <is>
          <t>October</t>
        </is>
      </c>
      <c r="B54" s="18">
        <f>$A$11 * 1.33</f>
        <v/>
      </c>
      <c r="C54" s="18">
        <f>SUMIFS(Raw_Attendance_Data!$S$2:$S$3, Raw_Attendance_Data!$I$2:$I$3, A54, Raw_Attendance_Data!$A$2:$A$3, 1)</f>
        <v/>
      </c>
      <c r="D54" s="19">
        <f>IF(B54&gt;0, C54/B54, 0)</f>
        <v/>
      </c>
    </row>
    <row r="55" ht="18" customHeight="1">
      <c r="A55" s="16" t="inlineStr">
        <is>
          <t>November</t>
        </is>
      </c>
      <c r="B55" s="18">
        <f>$A$11 * 1.33</f>
        <v/>
      </c>
      <c r="C55" s="18">
        <f>SUMIFS(Raw_Attendance_Data!$S$2:$S$3, Raw_Attendance_Data!$I$2:$I$3, A55, Raw_Attendance_Data!$A$2:$A$3, 1)</f>
        <v/>
      </c>
      <c r="D55" s="19">
        <f>IF(B55&gt;0, C55/B55, 0)</f>
        <v/>
      </c>
    </row>
    <row r="56" ht="18" customHeight="1">
      <c r="A56" s="16" t="inlineStr">
        <is>
          <t>December</t>
        </is>
      </c>
      <c r="B56" s="18">
        <f>$A$11 * 1.33</f>
        <v/>
      </c>
      <c r="C56" s="18">
        <f>SUMIFS(Raw_Attendance_Data!$S$2:$S$3, Raw_Attendance_Data!$I$2:$I$3, A56, Raw_Attendance_Data!$A$2:$A$3, 1)</f>
        <v/>
      </c>
      <c r="D56" s="19">
        <f>IF(B56&gt;0, C56/B56, 0)</f>
        <v/>
      </c>
    </row>
    <row r="57" ht="18" customHeight="1">
      <c r="A57" s="16" t="inlineStr">
        <is>
          <t>January</t>
        </is>
      </c>
      <c r="B57" s="18">
        <f>$A$11 * 1.33</f>
        <v/>
      </c>
      <c r="C57" s="18">
        <f>SUMIFS(Raw_Attendance_Data!$S$2:$S$3, Raw_Attendance_Data!$I$2:$I$3, A57, Raw_Attendance_Data!$A$2:$A$3, 1)</f>
        <v/>
      </c>
      <c r="D57" s="19">
        <f>IF(B57&gt;0, C57/B57, 0)</f>
        <v/>
      </c>
    </row>
    <row r="58" ht="18" customHeight="1">
      <c r="A58" s="16" t="inlineStr">
        <is>
          <t>February</t>
        </is>
      </c>
      <c r="B58" s="18">
        <f>$A$11 * 1.33</f>
        <v/>
      </c>
      <c r="C58" s="18">
        <f>SUMIFS(Raw_Attendance_Data!$S$2:$S$3, Raw_Attendance_Data!$I$2:$I$3, A58, Raw_Attendance_Data!$A$2:$A$3, 1)</f>
        <v/>
      </c>
      <c r="D58" s="19">
        <f>IF(B58&gt;0, C58/B58, 0)</f>
        <v/>
      </c>
    </row>
    <row r="59" ht="18" customHeight="1">
      <c r="A59" s="16" t="inlineStr">
        <is>
          <t>March</t>
        </is>
      </c>
      <c r="B59" s="18">
        <f>$A$11 * 1.33</f>
        <v/>
      </c>
      <c r="C59" s="18">
        <f>SUMIFS(Raw_Attendance_Data!$S$2:$S$3, Raw_Attendance_Data!$I$2:$I$3, A59, Raw_Attendance_Data!$A$2:$A$3, 1)</f>
        <v/>
      </c>
      <c r="D59" s="19">
        <f>IF(B59&gt;0, C59/B59, 0)</f>
        <v/>
      </c>
    </row>
  </sheetData>
  <mergeCells count="46">
    <mergeCell ref="E12:F12"/>
    <mergeCell ref="G12:H12"/>
    <mergeCell ref="G6:I6"/>
    <mergeCell ref="A15:K15"/>
    <mergeCell ref="B8:D8"/>
    <mergeCell ref="A11:B11"/>
    <mergeCell ref="G11:H11"/>
    <mergeCell ref="E5:F5"/>
    <mergeCell ref="I10:L10"/>
    <mergeCell ref="D5"/>
    <mergeCell ref="G48:K48"/>
    <mergeCell ref="I13:L13"/>
    <mergeCell ref="A2:L2"/>
    <mergeCell ref="C10:D10"/>
    <mergeCell ref="G5:I5"/>
    <mergeCell ref="E10:F10"/>
    <mergeCell ref="G10:H10"/>
    <mergeCell ref="E13:F13"/>
    <mergeCell ref="A37:E37"/>
    <mergeCell ref="A46:E46"/>
    <mergeCell ref="G13:H13"/>
    <mergeCell ref="E7:G7"/>
    <mergeCell ref="I11:L11"/>
    <mergeCell ref="G49:K49"/>
    <mergeCell ref="A4:L4"/>
    <mergeCell ref="A12:B12"/>
    <mergeCell ref="C12:D12"/>
    <mergeCell ref="E6:F6"/>
    <mergeCell ref="H7:I7"/>
    <mergeCell ref="C11:D11"/>
    <mergeCell ref="E11:F11"/>
    <mergeCell ref="D6"/>
    <mergeCell ref="B7:D7"/>
    <mergeCell ref="G37:J37"/>
    <mergeCell ref="B6:C6"/>
    <mergeCell ref="G51:K51"/>
    <mergeCell ref="B5:C5"/>
    <mergeCell ref="A1:L1"/>
    <mergeCell ref="E8:G8"/>
    <mergeCell ref="A10:B10"/>
    <mergeCell ref="I12:L12"/>
    <mergeCell ref="G50:K50"/>
    <mergeCell ref="A13:B13"/>
    <mergeCell ref="C13:D13"/>
    <mergeCell ref="H8:I8"/>
    <mergeCell ref="G46:K46"/>
  </mergeCells>
  <conditionalFormatting sqref="I17:I33">
    <cfRule type="cellIs" priority="1" operator="equal" dxfId="0">
      <formula>"Achieved"</formula>
    </cfRule>
    <cfRule type="cellIs" priority="2" operator="equal" dxfId="1">
      <formula>"Good"</formula>
    </cfRule>
    <cfRule type="cellIs" priority="3" operator="equal" dxfId="2">
      <formula>"Moderate"</formula>
    </cfRule>
    <cfRule type="cellIs" priority="4" operator="equal" dxfId="3">
      <formula>"Low"</formula>
    </cfRule>
    <cfRule type="cellIs" priority="5" operator="equal" dxfId="4">
      <formula>"Critical"</formula>
    </cfRule>
  </conditionalFormatting>
  <conditionalFormatting sqref="J39:J43">
    <cfRule type="cellIs" priority="6" operator="equal" dxfId="4">
      <formula>"🔴 Critical Risk"</formula>
    </cfRule>
    <cfRule type="cellIs" priority="7" operator="equal" dxfId="2">
      <formula>"🟡 Moderate Risk"</formula>
    </cfRule>
    <cfRule type="cellIs" priority="8" operator="equal" dxfId="0">
      <formula>"🟢 Low Risk"</formula>
    </cfRule>
  </conditionalFormatting>
  <dataValidations count="7">
    <dataValidation sqref="B6" showDropDown="0" showInputMessage="0" showErrorMessage="0" allowBlank="1" type="list">
      <formula1>Filter_Lists!$A$2:$A$20</formula1>
    </dataValidation>
    <dataValidation sqref="D6" showDropDown="0" showInputMessage="0" showErrorMessage="0" allowBlank="1" type="list">
      <formula1>Filter_Lists!$B$2:$B$6</formula1>
    </dataValidation>
    <dataValidation sqref="E6" showDropDown="0" showInputMessage="0" showErrorMessage="0" allowBlank="1" type="list">
      <formula1>Filter_Lists!$C$2:$C$14</formula1>
    </dataValidation>
    <dataValidation sqref="G6" showDropDown="0" showInputMessage="0" showErrorMessage="0" allowBlank="1" type="list">
      <formula1>Filter_Lists!$D$2:$D$19</formula1>
    </dataValidation>
    <dataValidation sqref="B8" showDropDown="0" showInputMessage="0" showErrorMessage="0" allowBlank="1" type="list">
      <formula1>Filter_Lists!$E$2:$E$10</formula1>
    </dataValidation>
    <dataValidation sqref="E8" showDropDown="0" showInputMessage="0" showErrorMessage="0" allowBlank="1" type="list">
      <formula1>Filter_Lists!$F$2:$F$20</formula1>
    </dataValidation>
    <dataValidation sqref="H8" showDropDown="0" showInputMessage="0" showErrorMessage="0" allowBlank="1" type="list">
      <formula1>Filter_Lists!$G$2:$G$7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16" customWidth="1" min="2" max="2"/>
    <col width="31" customWidth="1" min="3" max="3"/>
    <col width="20" customWidth="1" min="4" max="4"/>
    <col width="28" customWidth="1" min="5" max="5"/>
    <col width="178" customWidth="1" min="6" max="6"/>
    <col width="111" customWidth="1" min="7" max="7"/>
    <col width="19" customWidth="1" min="8" max="8"/>
    <col width="25" customWidth="1" min="9" max="9"/>
    <col width="116" customWidth="1" min="10" max="10"/>
    <col width="82" customWidth="1" min="11" max="11"/>
    <col width="27" customWidth="1" min="12" max="12"/>
  </cols>
  <sheetData>
    <row r="1">
      <c r="A1" s="34" t="inlineStr">
        <is>
          <t>Detailed Employee KPI Metrics &amp; Compliance Status</t>
        </is>
      </c>
    </row>
    <row r="2">
      <c r="A2" t="inlineStr">
        <is>
          <t>Do not edit this sheet directly. It contains formulas linking Employee metrics to the Dashboard filters.</t>
        </is>
      </c>
    </row>
    <row r="3"/>
    <row r="4"/>
    <row r="5"/>
    <row r="6">
      <c r="A6" t="n">
        <v>1</v>
      </c>
      <c r="B6" t="inlineStr">
        <is>
          <t>001</t>
        </is>
      </c>
      <c r="C6" t="inlineStr">
        <is>
          <t>Sagar Ramesh</t>
        </is>
      </c>
      <c r="D6" t="inlineStr">
        <is>
          <t>QA</t>
        </is>
      </c>
      <c r="E6" t="inlineStr">
        <is>
          <t>Srinivasan Beeman</t>
        </is>
      </c>
      <c r="F6">
        <f>IF(AND(OR('Department KPI Analytics'!$G$6="All", D6='Department KPI Analytics'!$G$6), OR('Department KPI Analytics'!$E$8="All", E6='Department KPI Analytics'!$E$8)), 16, 0)</f>
        <v/>
      </c>
      <c r="G6">
        <f>SUMIFS(Raw_Attendance_Data!$S$2:$S$3, Raw_Attendance_Data!$B$2:$B$3, B6, Raw_Attendance_Data!$A$2:$A$3, 1)</f>
        <v/>
      </c>
      <c r="H6">
        <f>MAX(F6-G6, 0)</f>
        <v/>
      </c>
      <c r="I6">
        <f>IF(F6&gt;0, G6/F6, 0)</f>
        <v/>
      </c>
      <c r="J6">
        <f>COUNTIFS(Raw_Attendance_Data!$B$2:$B$3, B6, Raw_Attendance_Data!$A$2:$A$3, 1, Raw_Attendance_Data!$Q$2:$Q$3, 1)</f>
        <v/>
      </c>
      <c r="K6">
        <f>COUNTIFS(Raw_Attendance_Data!$B$2:$B$3, B6, Raw_Attendance_Data!$A$2:$A$3, 1)</f>
        <v/>
      </c>
      <c r="L6">
        <f>IF(K6&gt;0, J6/K6, 1.0)</f>
        <v/>
      </c>
    </row>
    <row r="7">
      <c r="A7" t="n">
        <v>2</v>
      </c>
      <c r="B7" t="inlineStr">
        <is>
          <t>003</t>
        </is>
      </c>
      <c r="C7" t="inlineStr">
        <is>
          <t>Megha Lakshmi Murugamani</t>
        </is>
      </c>
      <c r="D7" t="inlineStr">
        <is>
          <t>CRM</t>
        </is>
      </c>
      <c r="E7" t="inlineStr">
        <is>
          <t>Prakash Padukhone Muthiah</t>
        </is>
      </c>
      <c r="F7">
        <f>IF(AND(OR('Department KPI Analytics'!$G$6="All", D7='Department KPI Analytics'!$G$6), OR('Department KPI Analytics'!$E$8="All", E7='Department KPI Analytics'!$E$8)), 16, 0)</f>
        <v/>
      </c>
      <c r="G7">
        <f>SUMIFS(Raw_Attendance_Data!$S$2:$S$3, Raw_Attendance_Data!$B$2:$B$3, B7, Raw_Attendance_Data!$A$2:$A$3, 1)</f>
        <v/>
      </c>
      <c r="H7">
        <f>MAX(F7-G7, 0)</f>
        <v/>
      </c>
      <c r="I7">
        <f>IF(F7&gt;0, G7/F7, 0)</f>
        <v/>
      </c>
      <c r="J7">
        <f>COUNTIFS(Raw_Attendance_Data!$B$2:$B$3, B7, Raw_Attendance_Data!$A$2:$A$3, 1, Raw_Attendance_Data!$Q$2:$Q$3, 1)</f>
        <v/>
      </c>
      <c r="K7">
        <f>COUNTIFS(Raw_Attendance_Data!$B$2:$B$3, B7, Raw_Attendance_Data!$A$2:$A$3, 1)</f>
        <v/>
      </c>
      <c r="L7">
        <f>IF(K7&gt;0, J7/K7, 1.0)</f>
        <v/>
      </c>
    </row>
    <row r="8">
      <c r="A8" t="n">
        <v>3</v>
      </c>
      <c r="B8" t="inlineStr">
        <is>
          <t>005</t>
        </is>
      </c>
      <c r="C8" t="inlineStr">
        <is>
          <t>Arunkumar Selvaraj</t>
        </is>
      </c>
      <c r="D8" t="inlineStr">
        <is>
          <t>RFQ</t>
        </is>
      </c>
      <c r="E8" t="inlineStr">
        <is>
          <t>R Rathina Kumar</t>
        </is>
      </c>
      <c r="F8">
        <f>IF(AND(OR('Department KPI Analytics'!$G$6="All", D8='Department KPI Analytics'!$G$6), OR('Department KPI Analytics'!$E$8="All", E8='Department KPI Analytics'!$E$8)), 16, 0)</f>
        <v/>
      </c>
      <c r="G8">
        <f>SUMIFS(Raw_Attendance_Data!$S$2:$S$3, Raw_Attendance_Data!$B$2:$B$3, B8, Raw_Attendance_Data!$A$2:$A$3, 1)</f>
        <v/>
      </c>
      <c r="H8">
        <f>MAX(F8-G8, 0)</f>
        <v/>
      </c>
      <c r="I8">
        <f>IF(F8&gt;0, G8/F8, 0)</f>
        <v/>
      </c>
      <c r="J8">
        <f>COUNTIFS(Raw_Attendance_Data!$B$2:$B$3, B8, Raw_Attendance_Data!$A$2:$A$3, 1, Raw_Attendance_Data!$Q$2:$Q$3, 1)</f>
        <v/>
      </c>
      <c r="K8">
        <f>COUNTIFS(Raw_Attendance_Data!$B$2:$B$3, B8, Raw_Attendance_Data!$A$2:$A$3, 1)</f>
        <v/>
      </c>
      <c r="L8">
        <f>IF(K8&gt;0, J8/K8, 1.0)</f>
        <v/>
      </c>
    </row>
    <row r="9">
      <c r="A9" t="n">
        <v>4</v>
      </c>
      <c r="B9" t="inlineStr">
        <is>
          <t>006</t>
        </is>
      </c>
      <c r="C9" t="inlineStr">
        <is>
          <t>Nalini Vasudevan</t>
        </is>
      </c>
      <c r="D9" t="inlineStr">
        <is>
          <t>Stores</t>
        </is>
      </c>
      <c r="E9" t="inlineStr">
        <is>
          <t>Sakthivel Muthu</t>
        </is>
      </c>
      <c r="F9">
        <f>IF(AND(OR('Department KPI Analytics'!$G$6="All", D9='Department KPI Analytics'!$G$6), OR('Department KPI Analytics'!$E$8="All", E9='Department KPI Analytics'!$E$8)), 16, 0)</f>
        <v/>
      </c>
      <c r="G9">
        <f>SUMIFS(Raw_Attendance_Data!$S$2:$S$3, Raw_Attendance_Data!$B$2:$B$3, B9, Raw_Attendance_Data!$A$2:$A$3, 1)</f>
        <v/>
      </c>
      <c r="H9">
        <f>MAX(F9-G9, 0)</f>
        <v/>
      </c>
      <c r="I9">
        <f>IF(F9&gt;0, G9/F9, 0)</f>
        <v/>
      </c>
      <c r="J9">
        <f>COUNTIFS(Raw_Attendance_Data!$B$2:$B$3, B9, Raw_Attendance_Data!$A$2:$A$3, 1, Raw_Attendance_Data!$Q$2:$Q$3, 1)</f>
        <v/>
      </c>
      <c r="K9">
        <f>COUNTIFS(Raw_Attendance_Data!$B$2:$B$3, B9, Raw_Attendance_Data!$A$2:$A$3, 1)</f>
        <v/>
      </c>
      <c r="L9">
        <f>IF(K9&gt;0, J9/K9, 1.0)</f>
        <v/>
      </c>
    </row>
    <row r="10">
      <c r="A10" t="n">
        <v>5</v>
      </c>
      <c r="B10" t="inlineStr">
        <is>
          <t>007</t>
        </is>
      </c>
      <c r="C10" t="inlineStr">
        <is>
          <t>Naveenkumar M</t>
        </is>
      </c>
      <c r="D10" t="inlineStr">
        <is>
          <t>NPD</t>
        </is>
      </c>
      <c r="E10" t="inlineStr">
        <is>
          <t>Prakash Padukhone Muthiah</t>
        </is>
      </c>
      <c r="F10">
        <f>IF(AND(OR('Department KPI Analytics'!$G$6="All", D10='Department KPI Analytics'!$G$6), OR('Department KPI Analytics'!$E$8="All", E10='Department KPI Analytics'!$E$8)), 16, 0)</f>
        <v/>
      </c>
      <c r="G10">
        <f>SUMIFS(Raw_Attendance_Data!$S$2:$S$3, Raw_Attendance_Data!$B$2:$B$3, B10, Raw_Attendance_Data!$A$2:$A$3, 1)</f>
        <v/>
      </c>
      <c r="H10">
        <f>MAX(F10-G10, 0)</f>
        <v/>
      </c>
      <c r="I10">
        <f>IF(F10&gt;0, G10/F10, 0)</f>
        <v/>
      </c>
      <c r="J10">
        <f>COUNTIFS(Raw_Attendance_Data!$B$2:$B$3, B10, Raw_Attendance_Data!$A$2:$A$3, 1, Raw_Attendance_Data!$Q$2:$Q$3, 1)</f>
        <v/>
      </c>
      <c r="K10">
        <f>COUNTIFS(Raw_Attendance_Data!$B$2:$B$3, B10, Raw_Attendance_Data!$A$2:$A$3, 1)</f>
        <v/>
      </c>
      <c r="L10">
        <f>IF(K10&gt;0, J10/K10, 1.0)</f>
        <v/>
      </c>
    </row>
    <row r="11">
      <c r="A11" t="n">
        <v>6</v>
      </c>
      <c r="B11" t="inlineStr">
        <is>
          <t>008</t>
        </is>
      </c>
      <c r="C11" t="inlineStr">
        <is>
          <t>Nethaji Raja</t>
        </is>
      </c>
      <c r="D11" t="inlineStr">
        <is>
          <t>QA</t>
        </is>
      </c>
      <c r="E11" t="inlineStr">
        <is>
          <t>R Rathina Kumar</t>
        </is>
      </c>
      <c r="F11">
        <f>IF(AND(OR('Department KPI Analytics'!$G$6="All", D11='Department KPI Analytics'!$G$6), OR('Department KPI Analytics'!$E$8="All", E11='Department KPI Analytics'!$E$8)), 16, 0)</f>
        <v/>
      </c>
      <c r="G11">
        <f>SUMIFS(Raw_Attendance_Data!$S$2:$S$3, Raw_Attendance_Data!$B$2:$B$3, B11, Raw_Attendance_Data!$A$2:$A$3, 1)</f>
        <v/>
      </c>
      <c r="H11">
        <f>MAX(F11-G11, 0)</f>
        <v/>
      </c>
      <c r="I11">
        <f>IF(F11&gt;0, G11/F11, 0)</f>
        <v/>
      </c>
      <c r="J11">
        <f>COUNTIFS(Raw_Attendance_Data!$B$2:$B$3, B11, Raw_Attendance_Data!$A$2:$A$3, 1, Raw_Attendance_Data!$Q$2:$Q$3, 1)</f>
        <v/>
      </c>
      <c r="K11">
        <f>COUNTIFS(Raw_Attendance_Data!$B$2:$B$3, B11, Raw_Attendance_Data!$A$2:$A$3, 1)</f>
        <v/>
      </c>
      <c r="L11">
        <f>IF(K11&gt;0, J11/K11, 1.0)</f>
        <v/>
      </c>
    </row>
    <row r="12">
      <c r="A12" t="n">
        <v>7</v>
      </c>
      <c r="B12" t="inlineStr">
        <is>
          <t>011</t>
        </is>
      </c>
      <c r="C12" t="inlineStr">
        <is>
          <t>Mariyaruban Mariyakilaimans</t>
        </is>
      </c>
      <c r="D12" t="inlineStr">
        <is>
          <t>Accounts</t>
        </is>
      </c>
      <c r="E12" t="inlineStr">
        <is>
          <t>Arunachalam Palaniappan</t>
        </is>
      </c>
      <c r="F12">
        <f>IF(AND(OR('Department KPI Analytics'!$G$6="All", D12='Department KPI Analytics'!$G$6), OR('Department KPI Analytics'!$E$8="All", E12='Department KPI Analytics'!$E$8)), 16, 0)</f>
        <v/>
      </c>
      <c r="G12">
        <f>SUMIFS(Raw_Attendance_Data!$S$2:$S$3, Raw_Attendance_Data!$B$2:$B$3, B12, Raw_Attendance_Data!$A$2:$A$3, 1)</f>
        <v/>
      </c>
      <c r="H12">
        <f>MAX(F12-G12, 0)</f>
        <v/>
      </c>
      <c r="I12">
        <f>IF(F12&gt;0, G12/F12, 0)</f>
        <v/>
      </c>
      <c r="J12">
        <f>COUNTIFS(Raw_Attendance_Data!$B$2:$B$3, B12, Raw_Attendance_Data!$A$2:$A$3, 1, Raw_Attendance_Data!$Q$2:$Q$3, 1)</f>
        <v/>
      </c>
      <c r="K12">
        <f>COUNTIFS(Raw_Attendance_Data!$B$2:$B$3, B12, Raw_Attendance_Data!$A$2:$A$3, 1)</f>
        <v/>
      </c>
      <c r="L12">
        <f>IF(K12&gt;0, J12/K12, 1.0)</f>
        <v/>
      </c>
    </row>
    <row r="13">
      <c r="A13" t="n">
        <v>8</v>
      </c>
      <c r="B13" t="inlineStr">
        <is>
          <t>013</t>
        </is>
      </c>
      <c r="C13" t="inlineStr">
        <is>
          <t>Govindammal .</t>
        </is>
      </c>
      <c r="D13" t="inlineStr">
        <is>
          <t>QA</t>
        </is>
      </c>
      <c r="E13" t="inlineStr">
        <is>
          <t>Srinivasan Beeman</t>
        </is>
      </c>
      <c r="F13">
        <f>IF(AND(OR('Department KPI Analytics'!$G$6="All", D13='Department KPI Analytics'!$G$6), OR('Department KPI Analytics'!$E$8="All", E13='Department KPI Analytics'!$E$8)), 16, 0)</f>
        <v/>
      </c>
      <c r="G13">
        <f>SUMIFS(Raw_Attendance_Data!$S$2:$S$3, Raw_Attendance_Data!$B$2:$B$3, B13, Raw_Attendance_Data!$A$2:$A$3, 1)</f>
        <v/>
      </c>
      <c r="H13">
        <f>MAX(F13-G13, 0)</f>
        <v/>
      </c>
      <c r="I13">
        <f>IF(F13&gt;0, G13/F13, 0)</f>
        <v/>
      </c>
      <c r="J13">
        <f>COUNTIFS(Raw_Attendance_Data!$B$2:$B$3, B13, Raw_Attendance_Data!$A$2:$A$3, 1, Raw_Attendance_Data!$Q$2:$Q$3, 1)</f>
        <v/>
      </c>
      <c r="K13">
        <f>COUNTIFS(Raw_Attendance_Data!$B$2:$B$3, B13, Raw_Attendance_Data!$A$2:$A$3, 1)</f>
        <v/>
      </c>
      <c r="L13">
        <f>IF(K13&gt;0, J13/K13, 1.0)</f>
        <v/>
      </c>
    </row>
    <row r="14">
      <c r="A14" t="n">
        <v>9</v>
      </c>
      <c r="B14" t="inlineStr">
        <is>
          <t>015</t>
        </is>
      </c>
      <c r="C14" t="inlineStr">
        <is>
          <t>Sangeetha Murugan</t>
        </is>
      </c>
      <c r="D14" t="inlineStr">
        <is>
          <t>QA</t>
        </is>
      </c>
      <c r="E14" t="inlineStr">
        <is>
          <t>Srinivasan Beeman</t>
        </is>
      </c>
      <c r="F14">
        <f>IF(AND(OR('Department KPI Analytics'!$G$6="All", D14='Department KPI Analytics'!$G$6), OR('Department KPI Analytics'!$E$8="All", E14='Department KPI Analytics'!$E$8)), 16, 0)</f>
        <v/>
      </c>
      <c r="G14">
        <f>SUMIFS(Raw_Attendance_Data!$S$2:$S$3, Raw_Attendance_Data!$B$2:$B$3, B14, Raw_Attendance_Data!$A$2:$A$3, 1)</f>
        <v/>
      </c>
      <c r="H14">
        <f>MAX(F14-G14, 0)</f>
        <v/>
      </c>
      <c r="I14">
        <f>IF(F14&gt;0, G14/F14, 0)</f>
        <v/>
      </c>
      <c r="J14">
        <f>COUNTIFS(Raw_Attendance_Data!$B$2:$B$3, B14, Raw_Attendance_Data!$A$2:$A$3, 1, Raw_Attendance_Data!$Q$2:$Q$3, 1)</f>
        <v/>
      </c>
      <c r="K14">
        <f>COUNTIFS(Raw_Attendance_Data!$B$2:$B$3, B14, Raw_Attendance_Data!$A$2:$A$3, 1)</f>
        <v/>
      </c>
      <c r="L14">
        <f>IF(K14&gt;0, J14/K14, 1.0)</f>
        <v/>
      </c>
    </row>
    <row r="15">
      <c r="A15" t="n">
        <v>10</v>
      </c>
      <c r="B15" t="inlineStr">
        <is>
          <t>016</t>
        </is>
      </c>
      <c r="C15" t="inlineStr">
        <is>
          <t>Gunasekaran Kaveri Setty</t>
        </is>
      </c>
      <c r="D15" t="inlineStr">
        <is>
          <t>QA</t>
        </is>
      </c>
      <c r="E15" t="inlineStr">
        <is>
          <t>Srinivasan Beeman</t>
        </is>
      </c>
      <c r="F15">
        <f>IF(AND(OR('Department KPI Analytics'!$G$6="All", D15='Department KPI Analytics'!$G$6), OR('Department KPI Analytics'!$E$8="All", E15='Department KPI Analytics'!$E$8)), 16, 0)</f>
        <v/>
      </c>
      <c r="G15">
        <f>SUMIFS(Raw_Attendance_Data!$S$2:$S$3, Raw_Attendance_Data!$B$2:$B$3, B15, Raw_Attendance_Data!$A$2:$A$3, 1)</f>
        <v/>
      </c>
      <c r="H15">
        <f>MAX(F15-G15, 0)</f>
        <v/>
      </c>
      <c r="I15">
        <f>IF(F15&gt;0, G15/F15, 0)</f>
        <v/>
      </c>
      <c r="J15">
        <f>COUNTIFS(Raw_Attendance_Data!$B$2:$B$3, B15, Raw_Attendance_Data!$A$2:$A$3, 1, Raw_Attendance_Data!$Q$2:$Q$3, 1)</f>
        <v/>
      </c>
      <c r="K15">
        <f>COUNTIFS(Raw_Attendance_Data!$B$2:$B$3, B15, Raw_Attendance_Data!$A$2:$A$3, 1)</f>
        <v/>
      </c>
      <c r="L15">
        <f>IF(K15&gt;0, J15/K15, 1.0)</f>
        <v/>
      </c>
    </row>
    <row r="16">
      <c r="A16" t="n">
        <v>11</v>
      </c>
      <c r="B16" t="inlineStr">
        <is>
          <t>017</t>
        </is>
      </c>
      <c r="C16" t="inlineStr">
        <is>
          <t>Saravana Hanumanthappa</t>
        </is>
      </c>
      <c r="D16" t="inlineStr">
        <is>
          <t>IT Support</t>
        </is>
      </c>
      <c r="E16" t="inlineStr">
        <is>
          <t>Manasa R</t>
        </is>
      </c>
      <c r="F16">
        <f>IF(AND(OR('Department KPI Analytics'!$G$6="All", D16='Department KPI Analytics'!$G$6), OR('Department KPI Analytics'!$E$8="All", E16='Department KPI Analytics'!$E$8)), 16, 0)</f>
        <v/>
      </c>
      <c r="G16">
        <f>SUMIFS(Raw_Attendance_Data!$S$2:$S$3, Raw_Attendance_Data!$B$2:$B$3, B16, Raw_Attendance_Data!$A$2:$A$3, 1)</f>
        <v/>
      </c>
      <c r="H16">
        <f>MAX(F16-G16, 0)</f>
        <v/>
      </c>
      <c r="I16">
        <f>IF(F16&gt;0, G16/F16, 0)</f>
        <v/>
      </c>
      <c r="J16">
        <f>COUNTIFS(Raw_Attendance_Data!$B$2:$B$3, B16, Raw_Attendance_Data!$A$2:$A$3, 1, Raw_Attendance_Data!$Q$2:$Q$3, 1)</f>
        <v/>
      </c>
      <c r="K16">
        <f>COUNTIFS(Raw_Attendance_Data!$B$2:$B$3, B16, Raw_Attendance_Data!$A$2:$A$3, 1)</f>
        <v/>
      </c>
      <c r="L16">
        <f>IF(K16&gt;0, J16/K16, 1.0)</f>
        <v/>
      </c>
    </row>
    <row r="17">
      <c r="A17" t="n">
        <v>12</v>
      </c>
      <c r="B17" t="inlineStr">
        <is>
          <t>018</t>
        </is>
      </c>
      <c r="C17" t="inlineStr">
        <is>
          <t>Perumal Govindharaj</t>
        </is>
      </c>
      <c r="D17" t="inlineStr">
        <is>
          <t>QA</t>
        </is>
      </c>
      <c r="E17" t="inlineStr">
        <is>
          <t>Srinivasan Beeman</t>
        </is>
      </c>
      <c r="F17">
        <f>IF(AND(OR('Department KPI Analytics'!$G$6="All", D17='Department KPI Analytics'!$G$6), OR('Department KPI Analytics'!$E$8="All", E17='Department KPI Analytics'!$E$8)), 16, 0)</f>
        <v/>
      </c>
      <c r="G17">
        <f>SUMIFS(Raw_Attendance_Data!$S$2:$S$3, Raw_Attendance_Data!$B$2:$B$3, B17, Raw_Attendance_Data!$A$2:$A$3, 1)</f>
        <v/>
      </c>
      <c r="H17">
        <f>MAX(F17-G17, 0)</f>
        <v/>
      </c>
      <c r="I17">
        <f>IF(F17&gt;0, G17/F17, 0)</f>
        <v/>
      </c>
      <c r="J17">
        <f>COUNTIFS(Raw_Attendance_Data!$B$2:$B$3, B17, Raw_Attendance_Data!$A$2:$A$3, 1, Raw_Attendance_Data!$Q$2:$Q$3, 1)</f>
        <v/>
      </c>
      <c r="K17">
        <f>COUNTIFS(Raw_Attendance_Data!$B$2:$B$3, B17, Raw_Attendance_Data!$A$2:$A$3, 1)</f>
        <v/>
      </c>
      <c r="L17">
        <f>IF(K17&gt;0, J17/K17, 1.0)</f>
        <v/>
      </c>
    </row>
    <row r="18">
      <c r="A18" t="n">
        <v>13</v>
      </c>
      <c r="B18" t="inlineStr">
        <is>
          <t>020</t>
        </is>
      </c>
      <c r="C18" t="inlineStr">
        <is>
          <t>Yuvaraj Vijayan</t>
        </is>
      </c>
      <c r="D18" t="inlineStr">
        <is>
          <t>QA</t>
        </is>
      </c>
      <c r="E18" t="inlineStr">
        <is>
          <t>Srinivasan Beeman</t>
        </is>
      </c>
      <c r="F18">
        <f>IF(AND(OR('Department KPI Analytics'!$G$6="All", D18='Department KPI Analytics'!$G$6), OR('Department KPI Analytics'!$E$8="All", E18='Department KPI Analytics'!$E$8)), 16, 0)</f>
        <v/>
      </c>
      <c r="G18">
        <f>SUMIFS(Raw_Attendance_Data!$S$2:$S$3, Raw_Attendance_Data!$B$2:$B$3, B18, Raw_Attendance_Data!$A$2:$A$3, 1)</f>
        <v/>
      </c>
      <c r="H18">
        <f>MAX(F18-G18, 0)</f>
        <v/>
      </c>
      <c r="I18">
        <f>IF(F18&gt;0, G18/F18, 0)</f>
        <v/>
      </c>
      <c r="J18">
        <f>COUNTIFS(Raw_Attendance_Data!$B$2:$B$3, B18, Raw_Attendance_Data!$A$2:$A$3, 1, Raw_Attendance_Data!$Q$2:$Q$3, 1)</f>
        <v/>
      </c>
      <c r="K18">
        <f>COUNTIFS(Raw_Attendance_Data!$B$2:$B$3, B18, Raw_Attendance_Data!$A$2:$A$3, 1)</f>
        <v/>
      </c>
      <c r="L18">
        <f>IF(K18&gt;0, J18/K18, 1.0)</f>
        <v/>
      </c>
    </row>
    <row r="19">
      <c r="A19" t="n">
        <v>14</v>
      </c>
      <c r="B19" t="inlineStr">
        <is>
          <t>021</t>
        </is>
      </c>
      <c r="C19" t="inlineStr">
        <is>
          <t>C Mohankumar</t>
        </is>
      </c>
      <c r="D19" t="inlineStr">
        <is>
          <t>Maintenance</t>
        </is>
      </c>
      <c r="E19" t="inlineStr">
        <is>
          <t>Manasa R</t>
        </is>
      </c>
      <c r="F19">
        <f>IF(AND(OR('Department KPI Analytics'!$G$6="All", D19='Department KPI Analytics'!$G$6), OR('Department KPI Analytics'!$E$8="All", E19='Department KPI Analytics'!$E$8)), 16, 0)</f>
        <v/>
      </c>
      <c r="G19">
        <f>SUMIFS(Raw_Attendance_Data!$S$2:$S$3, Raw_Attendance_Data!$B$2:$B$3, B19, Raw_Attendance_Data!$A$2:$A$3, 1)</f>
        <v/>
      </c>
      <c r="H19">
        <f>MAX(F19-G19, 0)</f>
        <v/>
      </c>
      <c r="I19">
        <f>IF(F19&gt;0, G19/F19, 0)</f>
        <v/>
      </c>
      <c r="J19">
        <f>COUNTIFS(Raw_Attendance_Data!$B$2:$B$3, B19, Raw_Attendance_Data!$A$2:$A$3, 1, Raw_Attendance_Data!$Q$2:$Q$3, 1)</f>
        <v/>
      </c>
      <c r="K19">
        <f>COUNTIFS(Raw_Attendance_Data!$B$2:$B$3, B19, Raw_Attendance_Data!$A$2:$A$3, 1)</f>
        <v/>
      </c>
      <c r="L19">
        <f>IF(K19&gt;0, J19/K19, 1.0)</f>
        <v/>
      </c>
    </row>
    <row r="20">
      <c r="A20" t="n">
        <v>15</v>
      </c>
      <c r="B20" t="inlineStr">
        <is>
          <t>023</t>
        </is>
      </c>
      <c r="C20" t="inlineStr">
        <is>
          <t>Murthy K</t>
        </is>
      </c>
      <c r="D20" t="inlineStr">
        <is>
          <t>QA</t>
        </is>
      </c>
      <c r="E20" t="inlineStr">
        <is>
          <t>Srinivasan Beeman</t>
        </is>
      </c>
      <c r="F20">
        <f>IF(AND(OR('Department KPI Analytics'!$G$6="All", D20='Department KPI Analytics'!$G$6), OR('Department KPI Analytics'!$E$8="All", E20='Department KPI Analytics'!$E$8)), 16, 0)</f>
        <v/>
      </c>
      <c r="G20">
        <f>SUMIFS(Raw_Attendance_Data!$S$2:$S$3, Raw_Attendance_Data!$B$2:$B$3, B20, Raw_Attendance_Data!$A$2:$A$3, 1)</f>
        <v/>
      </c>
      <c r="H20">
        <f>MAX(F20-G20, 0)</f>
        <v/>
      </c>
      <c r="I20">
        <f>IF(F20&gt;0, G20/F20, 0)</f>
        <v/>
      </c>
      <c r="J20">
        <f>COUNTIFS(Raw_Attendance_Data!$B$2:$B$3, B20, Raw_Attendance_Data!$A$2:$A$3, 1, Raw_Attendance_Data!$Q$2:$Q$3, 1)</f>
        <v/>
      </c>
      <c r="K20">
        <f>COUNTIFS(Raw_Attendance_Data!$B$2:$B$3, B20, Raw_Attendance_Data!$A$2:$A$3, 1)</f>
        <v/>
      </c>
      <c r="L20">
        <f>IF(K20&gt;0, J20/K20, 1.0)</f>
        <v/>
      </c>
    </row>
    <row r="21">
      <c r="A21" t="n">
        <v>16</v>
      </c>
      <c r="B21" t="inlineStr">
        <is>
          <t>024</t>
        </is>
      </c>
      <c r="C21" t="inlineStr">
        <is>
          <t>M Arun</t>
        </is>
      </c>
      <c r="D21" t="inlineStr">
        <is>
          <t>QA</t>
        </is>
      </c>
      <c r="E21" t="inlineStr">
        <is>
          <t>R Rathina Kumar</t>
        </is>
      </c>
      <c r="F21">
        <f>IF(AND(OR('Department KPI Analytics'!$G$6="All", D21='Department KPI Analytics'!$G$6), OR('Department KPI Analytics'!$E$8="All", E21='Department KPI Analytics'!$E$8)), 16, 0)</f>
        <v/>
      </c>
      <c r="G21">
        <f>SUMIFS(Raw_Attendance_Data!$S$2:$S$3, Raw_Attendance_Data!$B$2:$B$3, B21, Raw_Attendance_Data!$A$2:$A$3, 1)</f>
        <v/>
      </c>
      <c r="H21">
        <f>MAX(F21-G21, 0)</f>
        <v/>
      </c>
      <c r="I21">
        <f>IF(F21&gt;0, G21/F21, 0)</f>
        <v/>
      </c>
      <c r="J21">
        <f>COUNTIFS(Raw_Attendance_Data!$B$2:$B$3, B21, Raw_Attendance_Data!$A$2:$A$3, 1, Raw_Attendance_Data!$Q$2:$Q$3, 1)</f>
        <v/>
      </c>
      <c r="K21">
        <f>COUNTIFS(Raw_Attendance_Data!$B$2:$B$3, B21, Raw_Attendance_Data!$A$2:$A$3, 1)</f>
        <v/>
      </c>
      <c r="L21">
        <f>IF(K21&gt;0, J21/K21, 1.0)</f>
        <v/>
      </c>
    </row>
    <row r="22">
      <c r="A22" t="n">
        <v>17</v>
      </c>
      <c r="B22" t="inlineStr">
        <is>
          <t>025</t>
        </is>
      </c>
      <c r="C22" t="inlineStr">
        <is>
          <t>Nandhakumar G</t>
        </is>
      </c>
      <c r="D22" t="inlineStr">
        <is>
          <t>NPD</t>
        </is>
      </c>
      <c r="E22" t="inlineStr">
        <is>
          <t>Naveenkumar M</t>
        </is>
      </c>
      <c r="F22">
        <f>IF(AND(OR('Department KPI Analytics'!$G$6="All", D22='Department KPI Analytics'!$G$6), OR('Department KPI Analytics'!$E$8="All", E22='Department KPI Analytics'!$E$8)), 16, 0)</f>
        <v/>
      </c>
      <c r="G22">
        <f>SUMIFS(Raw_Attendance_Data!$S$2:$S$3, Raw_Attendance_Data!$B$2:$B$3, B22, Raw_Attendance_Data!$A$2:$A$3, 1)</f>
        <v/>
      </c>
      <c r="H22">
        <f>MAX(F22-G22, 0)</f>
        <v/>
      </c>
      <c r="I22">
        <f>IF(F22&gt;0, G22/F22, 0)</f>
        <v/>
      </c>
      <c r="J22">
        <f>COUNTIFS(Raw_Attendance_Data!$B$2:$B$3, B22, Raw_Attendance_Data!$A$2:$A$3, 1, Raw_Attendance_Data!$Q$2:$Q$3, 1)</f>
        <v/>
      </c>
      <c r="K22">
        <f>COUNTIFS(Raw_Attendance_Data!$B$2:$B$3, B22, Raw_Attendance_Data!$A$2:$A$3, 1)</f>
        <v/>
      </c>
      <c r="L22">
        <f>IF(K22&gt;0, J22/K22, 1.0)</f>
        <v/>
      </c>
    </row>
    <row r="23">
      <c r="A23" t="n">
        <v>18</v>
      </c>
      <c r="B23" t="inlineStr">
        <is>
          <t>026</t>
        </is>
      </c>
      <c r="C23" t="inlineStr">
        <is>
          <t>Surya P</t>
        </is>
      </c>
      <c r="D23" t="inlineStr">
        <is>
          <t>QA</t>
        </is>
      </c>
      <c r="E23" t="inlineStr">
        <is>
          <t>Srinivasan Beeman</t>
        </is>
      </c>
      <c r="F23">
        <f>IF(AND(OR('Department KPI Analytics'!$G$6="All", D23='Department KPI Analytics'!$G$6), OR('Department KPI Analytics'!$E$8="All", E23='Department KPI Analytics'!$E$8)), 16, 0)</f>
        <v/>
      </c>
      <c r="G23">
        <f>SUMIFS(Raw_Attendance_Data!$S$2:$S$3, Raw_Attendance_Data!$B$2:$B$3, B23, Raw_Attendance_Data!$A$2:$A$3, 1)</f>
        <v/>
      </c>
      <c r="H23">
        <f>MAX(F23-G23, 0)</f>
        <v/>
      </c>
      <c r="I23">
        <f>IF(F23&gt;0, G23/F23, 0)</f>
        <v/>
      </c>
      <c r="J23">
        <f>COUNTIFS(Raw_Attendance_Data!$B$2:$B$3, B23, Raw_Attendance_Data!$A$2:$A$3, 1, Raw_Attendance_Data!$Q$2:$Q$3, 1)</f>
        <v/>
      </c>
      <c r="K23">
        <f>COUNTIFS(Raw_Attendance_Data!$B$2:$B$3, B23, Raw_Attendance_Data!$A$2:$A$3, 1)</f>
        <v/>
      </c>
      <c r="L23">
        <f>IF(K23&gt;0, J23/K23, 1.0)</f>
        <v/>
      </c>
    </row>
    <row r="24">
      <c r="A24" t="n">
        <v>19</v>
      </c>
      <c r="B24" t="inlineStr">
        <is>
          <t>028</t>
        </is>
      </c>
      <c r="C24" t="inlineStr">
        <is>
          <t>Saranya Kuppan</t>
        </is>
      </c>
      <c r="D24" t="inlineStr">
        <is>
          <t>QA</t>
        </is>
      </c>
      <c r="E24" t="inlineStr">
        <is>
          <t>Srinivasan Beeman</t>
        </is>
      </c>
      <c r="F24">
        <f>IF(AND(OR('Department KPI Analytics'!$G$6="All", D24='Department KPI Analytics'!$G$6), OR('Department KPI Analytics'!$E$8="All", E24='Department KPI Analytics'!$E$8)), 16, 0)</f>
        <v/>
      </c>
      <c r="G24">
        <f>SUMIFS(Raw_Attendance_Data!$S$2:$S$3, Raw_Attendance_Data!$B$2:$B$3, B24, Raw_Attendance_Data!$A$2:$A$3, 1)</f>
        <v/>
      </c>
      <c r="H24">
        <f>MAX(F24-G24, 0)</f>
        <v/>
      </c>
      <c r="I24">
        <f>IF(F24&gt;0, G24/F24, 0)</f>
        <v/>
      </c>
      <c r="J24">
        <f>COUNTIFS(Raw_Attendance_Data!$B$2:$B$3, B24, Raw_Attendance_Data!$A$2:$A$3, 1, Raw_Attendance_Data!$Q$2:$Q$3, 1)</f>
        <v/>
      </c>
      <c r="K24">
        <f>COUNTIFS(Raw_Attendance_Data!$B$2:$B$3, B24, Raw_Attendance_Data!$A$2:$A$3, 1)</f>
        <v/>
      </c>
      <c r="L24">
        <f>IF(K24&gt;0, J24/K24, 1.0)</f>
        <v/>
      </c>
    </row>
    <row r="25">
      <c r="A25" t="n">
        <v>20</v>
      </c>
      <c r="B25" t="inlineStr">
        <is>
          <t>029</t>
        </is>
      </c>
      <c r="C25" t="inlineStr">
        <is>
          <t>Jayesh Nitin Patel</t>
        </is>
      </c>
      <c r="D25" t="inlineStr">
        <is>
          <t>Accounts</t>
        </is>
      </c>
      <c r="E25" t="inlineStr">
        <is>
          <t>Arunachalam Palaniappan</t>
        </is>
      </c>
      <c r="F25">
        <f>IF(AND(OR('Department KPI Analytics'!$G$6="All", D25='Department KPI Analytics'!$G$6), OR('Department KPI Analytics'!$E$8="All", E25='Department KPI Analytics'!$E$8)), 16, 0)</f>
        <v/>
      </c>
      <c r="G25">
        <f>SUMIFS(Raw_Attendance_Data!$S$2:$S$3, Raw_Attendance_Data!$B$2:$B$3, B25, Raw_Attendance_Data!$A$2:$A$3, 1)</f>
        <v/>
      </c>
      <c r="H25">
        <f>MAX(F25-G25, 0)</f>
        <v/>
      </c>
      <c r="I25">
        <f>IF(F25&gt;0, G25/F25, 0)</f>
        <v/>
      </c>
      <c r="J25">
        <f>COUNTIFS(Raw_Attendance_Data!$B$2:$B$3, B25, Raw_Attendance_Data!$A$2:$A$3, 1, Raw_Attendance_Data!$Q$2:$Q$3, 1)</f>
        <v/>
      </c>
      <c r="K25">
        <f>COUNTIFS(Raw_Attendance_Data!$B$2:$B$3, B25, Raw_Attendance_Data!$A$2:$A$3, 1)</f>
        <v/>
      </c>
      <c r="L25">
        <f>IF(K25&gt;0, J25/K25, 1.0)</f>
        <v/>
      </c>
    </row>
    <row r="26">
      <c r="A26" t="n">
        <v>21</v>
      </c>
      <c r="B26" t="inlineStr">
        <is>
          <t>100</t>
        </is>
      </c>
      <c r="C26" t="inlineStr">
        <is>
          <t>Nagaraju K</t>
        </is>
      </c>
      <c r="D26" t="inlineStr">
        <is>
          <t>QA</t>
        </is>
      </c>
      <c r="E26" t="inlineStr">
        <is>
          <t>Srinivasan Beeman</t>
        </is>
      </c>
      <c r="F26">
        <f>IF(AND(OR('Department KPI Analytics'!$G$6="All", D26='Department KPI Analytics'!$G$6), OR('Department KPI Analytics'!$E$8="All", E26='Department KPI Analytics'!$E$8)), 16, 0)</f>
        <v/>
      </c>
      <c r="G26">
        <f>SUMIFS(Raw_Attendance_Data!$S$2:$S$3, Raw_Attendance_Data!$B$2:$B$3, B26, Raw_Attendance_Data!$A$2:$A$3, 1)</f>
        <v/>
      </c>
      <c r="H26">
        <f>MAX(F26-G26, 0)</f>
        <v/>
      </c>
      <c r="I26">
        <f>IF(F26&gt;0, G26/F26, 0)</f>
        <v/>
      </c>
      <c r="J26">
        <f>COUNTIFS(Raw_Attendance_Data!$B$2:$B$3, B26, Raw_Attendance_Data!$A$2:$A$3, 1, Raw_Attendance_Data!$Q$2:$Q$3, 1)</f>
        <v/>
      </c>
      <c r="K26">
        <f>COUNTIFS(Raw_Attendance_Data!$B$2:$B$3, B26, Raw_Attendance_Data!$A$2:$A$3, 1)</f>
        <v/>
      </c>
      <c r="L26">
        <f>IF(K26&gt;0, J26/K26, 1.0)</f>
        <v/>
      </c>
    </row>
    <row r="27">
      <c r="A27" t="n">
        <v>22</v>
      </c>
      <c r="B27" t="inlineStr">
        <is>
          <t>103</t>
        </is>
      </c>
      <c r="C27" t="inlineStr">
        <is>
          <t>Suresh Muniyappan</t>
        </is>
      </c>
      <c r="D27" t="inlineStr">
        <is>
          <t>QA</t>
        </is>
      </c>
      <c r="E27" t="inlineStr">
        <is>
          <t>Srinivasan Beeman</t>
        </is>
      </c>
      <c r="F27">
        <f>IF(AND(OR('Department KPI Analytics'!$G$6="All", D27='Department KPI Analytics'!$G$6), OR('Department KPI Analytics'!$E$8="All", E27='Department KPI Analytics'!$E$8)), 16, 0)</f>
        <v/>
      </c>
      <c r="G27">
        <f>SUMIFS(Raw_Attendance_Data!$S$2:$S$3, Raw_Attendance_Data!$B$2:$B$3, B27, Raw_Attendance_Data!$A$2:$A$3, 1)</f>
        <v/>
      </c>
      <c r="H27">
        <f>MAX(F27-G27, 0)</f>
        <v/>
      </c>
      <c r="I27">
        <f>IF(F27&gt;0, G27/F27, 0)</f>
        <v/>
      </c>
      <c r="J27">
        <f>COUNTIFS(Raw_Attendance_Data!$B$2:$B$3, B27, Raw_Attendance_Data!$A$2:$A$3, 1, Raw_Attendance_Data!$Q$2:$Q$3, 1)</f>
        <v/>
      </c>
      <c r="K27">
        <f>COUNTIFS(Raw_Attendance_Data!$B$2:$B$3, B27, Raw_Attendance_Data!$A$2:$A$3, 1)</f>
        <v/>
      </c>
      <c r="L27">
        <f>IF(K27&gt;0, J27/K27, 1.0)</f>
        <v/>
      </c>
    </row>
    <row r="28">
      <c r="A28" t="n">
        <v>23</v>
      </c>
      <c r="B28" t="inlineStr">
        <is>
          <t>104</t>
        </is>
      </c>
      <c r="C28" t="inlineStr">
        <is>
          <t>Naveenkumar Suresh</t>
        </is>
      </c>
      <c r="D28" t="inlineStr">
        <is>
          <t>NPD</t>
        </is>
      </c>
      <c r="E28" t="inlineStr">
        <is>
          <t>Prakash Padukhone Muthiah</t>
        </is>
      </c>
      <c r="F28">
        <f>IF(AND(OR('Department KPI Analytics'!$G$6="All", D28='Department KPI Analytics'!$G$6), OR('Department KPI Analytics'!$E$8="All", E28='Department KPI Analytics'!$E$8)), 16, 0)</f>
        <v/>
      </c>
      <c r="G28">
        <f>SUMIFS(Raw_Attendance_Data!$S$2:$S$3, Raw_Attendance_Data!$B$2:$B$3, B28, Raw_Attendance_Data!$A$2:$A$3, 1)</f>
        <v/>
      </c>
      <c r="H28">
        <f>MAX(F28-G28, 0)</f>
        <v/>
      </c>
      <c r="I28">
        <f>IF(F28&gt;0, G28/F28, 0)</f>
        <v/>
      </c>
      <c r="J28">
        <f>COUNTIFS(Raw_Attendance_Data!$B$2:$B$3, B28, Raw_Attendance_Data!$A$2:$A$3, 1, Raw_Attendance_Data!$Q$2:$Q$3, 1)</f>
        <v/>
      </c>
      <c r="K28">
        <f>COUNTIFS(Raw_Attendance_Data!$B$2:$B$3, B28, Raw_Attendance_Data!$A$2:$A$3, 1)</f>
        <v/>
      </c>
      <c r="L28">
        <f>IF(K28&gt;0, J28/K28, 1.0)</f>
        <v/>
      </c>
    </row>
    <row r="29">
      <c r="A29" t="n">
        <v>24</v>
      </c>
      <c r="B29" t="inlineStr">
        <is>
          <t>106</t>
        </is>
      </c>
      <c r="C29" t="inlineStr">
        <is>
          <t>Nikhil Rajesh Shah</t>
        </is>
      </c>
      <c r="D29" t="inlineStr">
        <is>
          <t>Sourcing</t>
        </is>
      </c>
      <c r="E29" t="inlineStr">
        <is>
          <t>Vinit Praful Karia</t>
        </is>
      </c>
      <c r="F29">
        <f>IF(AND(OR('Department KPI Analytics'!$G$6="All", D29='Department KPI Analytics'!$G$6), OR('Department KPI Analytics'!$E$8="All", E29='Department KPI Analytics'!$E$8)), 16, 0)</f>
        <v/>
      </c>
      <c r="G29">
        <f>SUMIFS(Raw_Attendance_Data!$S$2:$S$3, Raw_Attendance_Data!$B$2:$B$3, B29, Raw_Attendance_Data!$A$2:$A$3, 1)</f>
        <v/>
      </c>
      <c r="H29">
        <f>MAX(F29-G29, 0)</f>
        <v/>
      </c>
      <c r="I29">
        <f>IF(F29&gt;0, G29/F29, 0)</f>
        <v/>
      </c>
      <c r="J29">
        <f>COUNTIFS(Raw_Attendance_Data!$B$2:$B$3, B29, Raw_Attendance_Data!$A$2:$A$3, 1, Raw_Attendance_Data!$Q$2:$Q$3, 1)</f>
        <v/>
      </c>
      <c r="K29">
        <f>COUNTIFS(Raw_Attendance_Data!$B$2:$B$3, B29, Raw_Attendance_Data!$A$2:$A$3, 1)</f>
        <v/>
      </c>
      <c r="L29">
        <f>IF(K29&gt;0, J29/K29, 1.0)</f>
        <v/>
      </c>
    </row>
    <row r="30">
      <c r="A30" t="n">
        <v>25</v>
      </c>
      <c r="B30" t="inlineStr">
        <is>
          <t>108</t>
        </is>
      </c>
      <c r="C30" t="inlineStr">
        <is>
          <t>Ramani Balan</t>
        </is>
      </c>
      <c r="D30" t="inlineStr">
        <is>
          <t>Casting</t>
        </is>
      </c>
      <c r="E30" t="inlineStr">
        <is>
          <t>R Rathina Kumar</t>
        </is>
      </c>
      <c r="F30">
        <f>IF(AND(OR('Department KPI Analytics'!$G$6="All", D30='Department KPI Analytics'!$G$6), OR('Department KPI Analytics'!$E$8="All", E30='Department KPI Analytics'!$E$8)), 16, 0)</f>
        <v/>
      </c>
      <c r="G30">
        <f>SUMIFS(Raw_Attendance_Data!$S$2:$S$3, Raw_Attendance_Data!$B$2:$B$3, B30, Raw_Attendance_Data!$A$2:$A$3, 1)</f>
        <v/>
      </c>
      <c r="H30">
        <f>MAX(F30-G30, 0)</f>
        <v/>
      </c>
      <c r="I30">
        <f>IF(F30&gt;0, G30/F30, 0)</f>
        <v/>
      </c>
      <c r="J30">
        <f>COUNTIFS(Raw_Attendance_Data!$B$2:$B$3, B30, Raw_Attendance_Data!$A$2:$A$3, 1, Raw_Attendance_Data!$Q$2:$Q$3, 1)</f>
        <v/>
      </c>
      <c r="K30">
        <f>COUNTIFS(Raw_Attendance_Data!$B$2:$B$3, B30, Raw_Attendance_Data!$A$2:$A$3, 1)</f>
        <v/>
      </c>
      <c r="L30">
        <f>IF(K30&gt;0, J30/K30, 1.0)</f>
        <v/>
      </c>
    </row>
    <row r="31">
      <c r="A31" t="n">
        <v>26</v>
      </c>
      <c r="B31" t="inlineStr">
        <is>
          <t>109</t>
        </is>
      </c>
      <c r="C31" t="inlineStr">
        <is>
          <t>Poovarasan S</t>
        </is>
      </c>
      <c r="D31" t="inlineStr">
        <is>
          <t>QA</t>
        </is>
      </c>
      <c r="E31" t="inlineStr">
        <is>
          <t>Srinivasan Beeman</t>
        </is>
      </c>
      <c r="F31">
        <f>IF(AND(OR('Department KPI Analytics'!$G$6="All", D31='Department KPI Analytics'!$G$6), OR('Department KPI Analytics'!$E$8="All", E31='Department KPI Analytics'!$E$8)), 16, 0)</f>
        <v/>
      </c>
      <c r="G31">
        <f>SUMIFS(Raw_Attendance_Data!$S$2:$S$3, Raw_Attendance_Data!$B$2:$B$3, B31, Raw_Attendance_Data!$A$2:$A$3, 1)</f>
        <v/>
      </c>
      <c r="H31">
        <f>MAX(F31-G31, 0)</f>
        <v/>
      </c>
      <c r="I31">
        <f>IF(F31&gt;0, G31/F31, 0)</f>
        <v/>
      </c>
      <c r="J31">
        <f>COUNTIFS(Raw_Attendance_Data!$B$2:$B$3, B31, Raw_Attendance_Data!$A$2:$A$3, 1, Raw_Attendance_Data!$Q$2:$Q$3, 1)</f>
        <v/>
      </c>
      <c r="K31">
        <f>COUNTIFS(Raw_Attendance_Data!$B$2:$B$3, B31, Raw_Attendance_Data!$A$2:$A$3, 1)</f>
        <v/>
      </c>
      <c r="L31">
        <f>IF(K31&gt;0, J31/K31, 1.0)</f>
        <v/>
      </c>
    </row>
    <row r="32">
      <c r="A32" t="n">
        <v>27</v>
      </c>
      <c r="B32" t="inlineStr">
        <is>
          <t>11</t>
        </is>
      </c>
      <c r="C32" t="inlineStr">
        <is>
          <t>Rajeshwari Ganeshkumar</t>
        </is>
      </c>
      <c r="D32" t="inlineStr">
        <is>
          <t>Commercial</t>
        </is>
      </c>
      <c r="E32" t="inlineStr">
        <is>
          <t>Prakash Padukhone Muthiah</t>
        </is>
      </c>
      <c r="F32">
        <f>IF(AND(OR('Department KPI Analytics'!$G$6="All", D32='Department KPI Analytics'!$G$6), OR('Department KPI Analytics'!$E$8="All", E32='Department KPI Analytics'!$E$8)), 16, 0)</f>
        <v/>
      </c>
      <c r="G32">
        <f>SUMIFS(Raw_Attendance_Data!$S$2:$S$3, Raw_Attendance_Data!$B$2:$B$3, B32, Raw_Attendance_Data!$A$2:$A$3, 1)</f>
        <v/>
      </c>
      <c r="H32">
        <f>MAX(F32-G32, 0)</f>
        <v/>
      </c>
      <c r="I32">
        <f>IF(F32&gt;0, G32/F32, 0)</f>
        <v/>
      </c>
      <c r="J32">
        <f>COUNTIFS(Raw_Attendance_Data!$B$2:$B$3, B32, Raw_Attendance_Data!$A$2:$A$3, 1, Raw_Attendance_Data!$Q$2:$Q$3, 1)</f>
        <v/>
      </c>
      <c r="K32">
        <f>COUNTIFS(Raw_Attendance_Data!$B$2:$B$3, B32, Raw_Attendance_Data!$A$2:$A$3, 1)</f>
        <v/>
      </c>
      <c r="L32">
        <f>IF(K32&gt;0, J32/K32, 1.0)</f>
        <v/>
      </c>
    </row>
    <row r="33">
      <c r="A33" t="n">
        <v>28</v>
      </c>
      <c r="B33" t="inlineStr">
        <is>
          <t>110</t>
        </is>
      </c>
      <c r="C33" t="inlineStr">
        <is>
          <t>Savaliya Nishant Popatbhai</t>
        </is>
      </c>
      <c r="D33" t="inlineStr">
        <is>
          <t>QA</t>
        </is>
      </c>
      <c r="E33" t="inlineStr">
        <is>
          <t>Vinit Praful Karia</t>
        </is>
      </c>
      <c r="F33">
        <f>IF(AND(OR('Department KPI Analytics'!$G$6="All", D33='Department KPI Analytics'!$G$6), OR('Department KPI Analytics'!$E$8="All", E33='Department KPI Analytics'!$E$8)), 16, 0)</f>
        <v/>
      </c>
      <c r="G33">
        <f>SUMIFS(Raw_Attendance_Data!$S$2:$S$3, Raw_Attendance_Data!$B$2:$B$3, B33, Raw_Attendance_Data!$A$2:$A$3, 1)</f>
        <v/>
      </c>
      <c r="H33">
        <f>MAX(F33-G33, 0)</f>
        <v/>
      </c>
      <c r="I33">
        <f>IF(F33&gt;0, G33/F33, 0)</f>
        <v/>
      </c>
      <c r="J33">
        <f>COUNTIFS(Raw_Attendance_Data!$B$2:$B$3, B33, Raw_Attendance_Data!$A$2:$A$3, 1, Raw_Attendance_Data!$Q$2:$Q$3, 1)</f>
        <v/>
      </c>
      <c r="K33">
        <f>COUNTIFS(Raw_Attendance_Data!$B$2:$B$3, B33, Raw_Attendance_Data!$A$2:$A$3, 1)</f>
        <v/>
      </c>
      <c r="L33">
        <f>IF(K33&gt;0, J33/K33, 1.0)</f>
        <v/>
      </c>
    </row>
    <row r="34">
      <c r="A34" t="n">
        <v>29</v>
      </c>
      <c r="B34" t="inlineStr">
        <is>
          <t>111</t>
        </is>
      </c>
      <c r="C34" t="inlineStr">
        <is>
          <t>Geetha Gowthaman</t>
        </is>
      </c>
      <c r="D34" t="inlineStr">
        <is>
          <t>NPD</t>
        </is>
      </c>
      <c r="E34" t="inlineStr">
        <is>
          <t>R Rathina Kumar</t>
        </is>
      </c>
      <c r="F34">
        <f>IF(AND(OR('Department KPI Analytics'!$G$6="All", D34='Department KPI Analytics'!$G$6), OR('Department KPI Analytics'!$E$8="All", E34='Department KPI Analytics'!$E$8)), 16, 0)</f>
        <v/>
      </c>
      <c r="G34">
        <f>SUMIFS(Raw_Attendance_Data!$S$2:$S$3, Raw_Attendance_Data!$B$2:$B$3, B34, Raw_Attendance_Data!$A$2:$A$3, 1)</f>
        <v/>
      </c>
      <c r="H34">
        <f>MAX(F34-G34, 0)</f>
        <v/>
      </c>
      <c r="I34">
        <f>IF(F34&gt;0, G34/F34, 0)</f>
        <v/>
      </c>
      <c r="J34">
        <f>COUNTIFS(Raw_Attendance_Data!$B$2:$B$3, B34, Raw_Attendance_Data!$A$2:$A$3, 1, Raw_Attendance_Data!$Q$2:$Q$3, 1)</f>
        <v/>
      </c>
      <c r="K34">
        <f>COUNTIFS(Raw_Attendance_Data!$B$2:$B$3, B34, Raw_Attendance_Data!$A$2:$A$3, 1)</f>
        <v/>
      </c>
      <c r="L34">
        <f>IF(K34&gt;0, J34/K34, 1.0)</f>
        <v/>
      </c>
    </row>
    <row r="35">
      <c r="A35" t="n">
        <v>30</v>
      </c>
      <c r="B35" t="inlineStr">
        <is>
          <t>12</t>
        </is>
      </c>
      <c r="C35" t="inlineStr">
        <is>
          <t>Nandinee Kapilesh sharma</t>
        </is>
      </c>
      <c r="D35" t="inlineStr">
        <is>
          <t>Accounts</t>
        </is>
      </c>
      <c r="E35" t="inlineStr">
        <is>
          <t>Team Manager</t>
        </is>
      </c>
      <c r="F35">
        <f>IF(AND(OR('Department KPI Analytics'!$G$6="All", D35='Department KPI Analytics'!$G$6), OR('Department KPI Analytics'!$E$8="All", E35='Department KPI Analytics'!$E$8)), 16, 0)</f>
        <v/>
      </c>
      <c r="G35">
        <f>SUMIFS(Raw_Attendance_Data!$S$2:$S$3, Raw_Attendance_Data!$B$2:$B$3, B35, Raw_Attendance_Data!$A$2:$A$3, 1)</f>
        <v/>
      </c>
      <c r="H35">
        <f>MAX(F35-G35, 0)</f>
        <v/>
      </c>
      <c r="I35">
        <f>IF(F35&gt;0, G35/F35, 0)</f>
        <v/>
      </c>
      <c r="J35">
        <f>COUNTIFS(Raw_Attendance_Data!$B$2:$B$3, B35, Raw_Attendance_Data!$A$2:$A$3, 1, Raw_Attendance_Data!$Q$2:$Q$3, 1)</f>
        <v/>
      </c>
      <c r="K35">
        <f>COUNTIFS(Raw_Attendance_Data!$B$2:$B$3, B35, Raw_Attendance_Data!$A$2:$A$3, 1)</f>
        <v/>
      </c>
      <c r="L35">
        <f>IF(K35&gt;0, J35/K35, 1.0)</f>
        <v/>
      </c>
    </row>
    <row r="36">
      <c r="A36" t="n">
        <v>31</v>
      </c>
      <c r="B36" t="inlineStr">
        <is>
          <t>13</t>
        </is>
      </c>
      <c r="C36" t="inlineStr">
        <is>
          <t>Srinivasan Beeman</t>
        </is>
      </c>
      <c r="D36" t="inlineStr">
        <is>
          <t>QA</t>
        </is>
      </c>
      <c r="E36" t="inlineStr">
        <is>
          <t>Prakash Padukhone Muthiah</t>
        </is>
      </c>
      <c r="F36">
        <f>IF(AND(OR('Department KPI Analytics'!$G$6="All", D36='Department KPI Analytics'!$G$6), OR('Department KPI Analytics'!$E$8="All", E36='Department KPI Analytics'!$E$8)), 16, 0)</f>
        <v/>
      </c>
      <c r="G36">
        <f>SUMIFS(Raw_Attendance_Data!$S$2:$S$3, Raw_Attendance_Data!$B$2:$B$3, B36, Raw_Attendance_Data!$A$2:$A$3, 1)</f>
        <v/>
      </c>
      <c r="H36">
        <f>MAX(F36-G36, 0)</f>
        <v/>
      </c>
      <c r="I36">
        <f>IF(F36&gt;0, G36/F36, 0)</f>
        <v/>
      </c>
      <c r="J36">
        <f>COUNTIFS(Raw_Attendance_Data!$B$2:$B$3, B36, Raw_Attendance_Data!$A$2:$A$3, 1, Raw_Attendance_Data!$Q$2:$Q$3, 1)</f>
        <v/>
      </c>
      <c r="K36">
        <f>COUNTIFS(Raw_Attendance_Data!$B$2:$B$3, B36, Raw_Attendance_Data!$A$2:$A$3, 1)</f>
        <v/>
      </c>
      <c r="L36">
        <f>IF(K36&gt;0, J36/K36, 1.0)</f>
        <v/>
      </c>
    </row>
    <row r="37">
      <c r="A37" t="n">
        <v>32</v>
      </c>
      <c r="B37" t="inlineStr">
        <is>
          <t>15</t>
        </is>
      </c>
      <c r="C37" t="inlineStr">
        <is>
          <t>Sathishkumar Govindarajan</t>
        </is>
      </c>
      <c r="D37" t="inlineStr">
        <is>
          <t>Sourcing</t>
        </is>
      </c>
      <c r="E37" t="inlineStr">
        <is>
          <t>Anil Kumar Joshi</t>
        </is>
      </c>
      <c r="F37">
        <f>IF(AND(OR('Department KPI Analytics'!$G$6="All", D37='Department KPI Analytics'!$G$6), OR('Department KPI Analytics'!$E$8="All", E37='Department KPI Analytics'!$E$8)), 16, 0)</f>
        <v/>
      </c>
      <c r="G37">
        <f>SUMIFS(Raw_Attendance_Data!$S$2:$S$3, Raw_Attendance_Data!$B$2:$B$3, B37, Raw_Attendance_Data!$A$2:$A$3, 1)</f>
        <v/>
      </c>
      <c r="H37">
        <f>MAX(F37-G37, 0)</f>
        <v/>
      </c>
      <c r="I37">
        <f>IF(F37&gt;0, G37/F37, 0)</f>
        <v/>
      </c>
      <c r="J37">
        <f>COUNTIFS(Raw_Attendance_Data!$B$2:$B$3, B37, Raw_Attendance_Data!$A$2:$A$3, 1, Raw_Attendance_Data!$Q$2:$Q$3, 1)</f>
        <v/>
      </c>
      <c r="K37">
        <f>COUNTIFS(Raw_Attendance_Data!$B$2:$B$3, B37, Raw_Attendance_Data!$A$2:$A$3, 1)</f>
        <v/>
      </c>
      <c r="L37">
        <f>IF(K37&gt;0, J37/K37, 1.0)</f>
        <v/>
      </c>
    </row>
    <row r="38">
      <c r="A38" t="n">
        <v>33</v>
      </c>
      <c r="B38" t="inlineStr">
        <is>
          <t>16</t>
        </is>
      </c>
      <c r="C38" t="inlineStr">
        <is>
          <t>Kadiraysh S</t>
        </is>
      </c>
      <c r="D38" t="inlineStr">
        <is>
          <t>QA</t>
        </is>
      </c>
      <c r="E38" t="inlineStr">
        <is>
          <t>Prakash Padukhone Muthiah</t>
        </is>
      </c>
      <c r="F38">
        <f>IF(AND(OR('Department KPI Analytics'!$G$6="All", D38='Department KPI Analytics'!$G$6), OR('Department KPI Analytics'!$E$8="All", E38='Department KPI Analytics'!$E$8)), 16, 0)</f>
        <v/>
      </c>
      <c r="G38">
        <f>SUMIFS(Raw_Attendance_Data!$S$2:$S$3, Raw_Attendance_Data!$B$2:$B$3, B38, Raw_Attendance_Data!$A$2:$A$3, 1)</f>
        <v/>
      </c>
      <c r="H38">
        <f>MAX(F38-G38, 0)</f>
        <v/>
      </c>
      <c r="I38">
        <f>IF(F38&gt;0, G38/F38, 0)</f>
        <v/>
      </c>
      <c r="J38">
        <f>COUNTIFS(Raw_Attendance_Data!$B$2:$B$3, B38, Raw_Attendance_Data!$A$2:$A$3, 1, Raw_Attendance_Data!$Q$2:$Q$3, 1)</f>
        <v/>
      </c>
      <c r="K38">
        <f>COUNTIFS(Raw_Attendance_Data!$B$2:$B$3, B38, Raw_Attendance_Data!$A$2:$A$3, 1)</f>
        <v/>
      </c>
      <c r="L38">
        <f>IF(K38&gt;0, J38/K38, 1.0)</f>
        <v/>
      </c>
    </row>
    <row r="39">
      <c r="A39" t="n">
        <v>34</v>
      </c>
      <c r="B39" t="inlineStr">
        <is>
          <t>17</t>
        </is>
      </c>
      <c r="C39" t="inlineStr">
        <is>
          <t>Balraj .</t>
        </is>
      </c>
      <c r="D39" t="inlineStr">
        <is>
          <t>QA</t>
        </is>
      </c>
      <c r="E39" t="inlineStr">
        <is>
          <t>Srinivasan Beeman</t>
        </is>
      </c>
      <c r="F39">
        <f>IF(AND(OR('Department KPI Analytics'!$G$6="All", D39='Department KPI Analytics'!$G$6), OR('Department KPI Analytics'!$E$8="All", E39='Department KPI Analytics'!$E$8)), 16, 0)</f>
        <v/>
      </c>
      <c r="G39">
        <f>SUMIFS(Raw_Attendance_Data!$S$2:$S$3, Raw_Attendance_Data!$B$2:$B$3, B39, Raw_Attendance_Data!$A$2:$A$3, 1)</f>
        <v/>
      </c>
      <c r="H39">
        <f>MAX(F39-G39, 0)</f>
        <v/>
      </c>
      <c r="I39">
        <f>IF(F39&gt;0, G39/F39, 0)</f>
        <v/>
      </c>
      <c r="J39">
        <f>COUNTIFS(Raw_Attendance_Data!$B$2:$B$3, B39, Raw_Attendance_Data!$A$2:$A$3, 1, Raw_Attendance_Data!$Q$2:$Q$3, 1)</f>
        <v/>
      </c>
      <c r="K39">
        <f>COUNTIFS(Raw_Attendance_Data!$B$2:$B$3, B39, Raw_Attendance_Data!$A$2:$A$3, 1)</f>
        <v/>
      </c>
      <c r="L39">
        <f>IF(K39&gt;0, J39/K39, 1.0)</f>
        <v/>
      </c>
    </row>
    <row r="40">
      <c r="A40" t="n">
        <v>35</v>
      </c>
      <c r="B40" t="inlineStr">
        <is>
          <t>20</t>
        </is>
      </c>
      <c r="C40" t="inlineStr">
        <is>
          <t>Kumaresh B</t>
        </is>
      </c>
      <c r="D40" t="inlineStr">
        <is>
          <t>Accounts</t>
        </is>
      </c>
      <c r="E40" t="inlineStr">
        <is>
          <t>Team Manager</t>
        </is>
      </c>
      <c r="F40">
        <f>IF(AND(OR('Department KPI Analytics'!$G$6="All", D40='Department KPI Analytics'!$G$6), OR('Department KPI Analytics'!$E$8="All", E40='Department KPI Analytics'!$E$8)), 16, 0)</f>
        <v/>
      </c>
      <c r="G40">
        <f>SUMIFS(Raw_Attendance_Data!$S$2:$S$3, Raw_Attendance_Data!$B$2:$B$3, B40, Raw_Attendance_Data!$A$2:$A$3, 1)</f>
        <v/>
      </c>
      <c r="H40">
        <f>MAX(F40-G40, 0)</f>
        <v/>
      </c>
      <c r="I40">
        <f>IF(F40&gt;0, G40/F40, 0)</f>
        <v/>
      </c>
      <c r="J40">
        <f>COUNTIFS(Raw_Attendance_Data!$B$2:$B$3, B40, Raw_Attendance_Data!$A$2:$A$3, 1, Raw_Attendance_Data!$Q$2:$Q$3, 1)</f>
        <v/>
      </c>
      <c r="K40">
        <f>COUNTIFS(Raw_Attendance_Data!$B$2:$B$3, B40, Raw_Attendance_Data!$A$2:$A$3, 1)</f>
        <v/>
      </c>
      <c r="L40">
        <f>IF(K40&gt;0, J40/K40, 1.0)</f>
        <v/>
      </c>
    </row>
    <row r="41">
      <c r="A41" t="n">
        <v>36</v>
      </c>
      <c r="B41" t="inlineStr">
        <is>
          <t>24</t>
        </is>
      </c>
      <c r="C41" t="inlineStr">
        <is>
          <t>Arun Kumar Murugan</t>
        </is>
      </c>
      <c r="D41" t="inlineStr">
        <is>
          <t>QA</t>
        </is>
      </c>
      <c r="E41" t="inlineStr">
        <is>
          <t>Srinivasan Beeman</t>
        </is>
      </c>
      <c r="F41">
        <f>IF(AND(OR('Department KPI Analytics'!$G$6="All", D41='Department KPI Analytics'!$G$6), OR('Department KPI Analytics'!$E$8="All", E41='Department KPI Analytics'!$E$8)), 16, 0)</f>
        <v/>
      </c>
      <c r="G41">
        <f>SUMIFS(Raw_Attendance_Data!$S$2:$S$3, Raw_Attendance_Data!$B$2:$B$3, B41, Raw_Attendance_Data!$A$2:$A$3, 1)</f>
        <v/>
      </c>
      <c r="H41">
        <f>MAX(F41-G41, 0)</f>
        <v/>
      </c>
      <c r="I41">
        <f>IF(F41&gt;0, G41/F41, 0)</f>
        <v/>
      </c>
      <c r="J41">
        <f>COUNTIFS(Raw_Attendance_Data!$B$2:$B$3, B41, Raw_Attendance_Data!$A$2:$A$3, 1, Raw_Attendance_Data!$Q$2:$Q$3, 1)</f>
        <v/>
      </c>
      <c r="K41">
        <f>COUNTIFS(Raw_Attendance_Data!$B$2:$B$3, B41, Raw_Attendance_Data!$A$2:$A$3, 1)</f>
        <v/>
      </c>
      <c r="L41">
        <f>IF(K41&gt;0, J41/K41, 1.0)</f>
        <v/>
      </c>
    </row>
    <row r="42">
      <c r="A42" t="n">
        <v>37</v>
      </c>
      <c r="B42" t="inlineStr">
        <is>
          <t>29</t>
        </is>
      </c>
      <c r="C42" t="inlineStr">
        <is>
          <t>Dinesh Raja Muthulakshmanan</t>
        </is>
      </c>
      <c r="D42" t="inlineStr">
        <is>
          <t>QA</t>
        </is>
      </c>
      <c r="E42" t="inlineStr">
        <is>
          <t>Srinivasan Beeman</t>
        </is>
      </c>
      <c r="F42">
        <f>IF(AND(OR('Department KPI Analytics'!$G$6="All", D42='Department KPI Analytics'!$G$6), OR('Department KPI Analytics'!$E$8="All", E42='Department KPI Analytics'!$E$8)), 16, 0)</f>
        <v/>
      </c>
      <c r="G42">
        <f>SUMIFS(Raw_Attendance_Data!$S$2:$S$3, Raw_Attendance_Data!$B$2:$B$3, B42, Raw_Attendance_Data!$A$2:$A$3, 1)</f>
        <v/>
      </c>
      <c r="H42">
        <f>MAX(F42-G42, 0)</f>
        <v/>
      </c>
      <c r="I42">
        <f>IF(F42&gt;0, G42/F42, 0)</f>
        <v/>
      </c>
      <c r="J42">
        <f>COUNTIFS(Raw_Attendance_Data!$B$2:$B$3, B42, Raw_Attendance_Data!$A$2:$A$3, 1, Raw_Attendance_Data!$Q$2:$Q$3, 1)</f>
        <v/>
      </c>
      <c r="K42">
        <f>COUNTIFS(Raw_Attendance_Data!$B$2:$B$3, B42, Raw_Attendance_Data!$A$2:$A$3, 1)</f>
        <v/>
      </c>
      <c r="L42">
        <f>IF(K42&gt;0, J42/K42, 1.0)</f>
        <v/>
      </c>
    </row>
    <row r="43">
      <c r="A43" t="n">
        <v>38</v>
      </c>
      <c r="B43" t="inlineStr">
        <is>
          <t>32</t>
        </is>
      </c>
      <c r="C43" t="inlineStr">
        <is>
          <t>Sakthivel Muthu</t>
        </is>
      </c>
      <c r="D43" t="inlineStr">
        <is>
          <t>Stores</t>
        </is>
      </c>
      <c r="E43" t="inlineStr">
        <is>
          <t>Anil Kumar Joshi</t>
        </is>
      </c>
      <c r="F43">
        <f>IF(AND(OR('Department KPI Analytics'!$G$6="All", D43='Department KPI Analytics'!$G$6), OR('Department KPI Analytics'!$E$8="All", E43='Department KPI Analytics'!$E$8)), 16, 0)</f>
        <v/>
      </c>
      <c r="G43">
        <f>SUMIFS(Raw_Attendance_Data!$S$2:$S$3, Raw_Attendance_Data!$B$2:$B$3, B43, Raw_Attendance_Data!$A$2:$A$3, 1)</f>
        <v/>
      </c>
      <c r="H43">
        <f>MAX(F43-G43, 0)</f>
        <v/>
      </c>
      <c r="I43">
        <f>IF(F43&gt;0, G43/F43, 0)</f>
        <v/>
      </c>
      <c r="J43">
        <f>COUNTIFS(Raw_Attendance_Data!$B$2:$B$3, B43, Raw_Attendance_Data!$A$2:$A$3, 1, Raw_Attendance_Data!$Q$2:$Q$3, 1)</f>
        <v/>
      </c>
      <c r="K43">
        <f>COUNTIFS(Raw_Attendance_Data!$B$2:$B$3, B43, Raw_Attendance_Data!$A$2:$A$3, 1)</f>
        <v/>
      </c>
      <c r="L43">
        <f>IF(K43&gt;0, J43/K43, 1.0)</f>
        <v/>
      </c>
    </row>
    <row r="44">
      <c r="A44" t="n">
        <v>39</v>
      </c>
      <c r="B44" t="inlineStr">
        <is>
          <t>33</t>
        </is>
      </c>
      <c r="C44" t="inlineStr">
        <is>
          <t>Vivek R</t>
        </is>
      </c>
      <c r="D44" t="inlineStr">
        <is>
          <t>Commercial</t>
        </is>
      </c>
      <c r="E44" t="inlineStr">
        <is>
          <t>Rajeshwari Ganeshkumar</t>
        </is>
      </c>
      <c r="F44">
        <f>IF(AND(OR('Department KPI Analytics'!$G$6="All", D44='Department KPI Analytics'!$G$6), OR('Department KPI Analytics'!$E$8="All", E44='Department KPI Analytics'!$E$8)), 16, 0)</f>
        <v/>
      </c>
      <c r="G44">
        <f>SUMIFS(Raw_Attendance_Data!$S$2:$S$3, Raw_Attendance_Data!$B$2:$B$3, B44, Raw_Attendance_Data!$A$2:$A$3, 1)</f>
        <v/>
      </c>
      <c r="H44">
        <f>MAX(F44-G44, 0)</f>
        <v/>
      </c>
      <c r="I44">
        <f>IF(F44&gt;0, G44/F44, 0)</f>
        <v/>
      </c>
      <c r="J44">
        <f>COUNTIFS(Raw_Attendance_Data!$B$2:$B$3, B44, Raw_Attendance_Data!$A$2:$A$3, 1, Raw_Attendance_Data!$Q$2:$Q$3, 1)</f>
        <v/>
      </c>
      <c r="K44">
        <f>COUNTIFS(Raw_Attendance_Data!$B$2:$B$3, B44, Raw_Attendance_Data!$A$2:$A$3, 1)</f>
        <v/>
      </c>
      <c r="L44">
        <f>IF(K44&gt;0, J44/K44, 1.0)</f>
        <v/>
      </c>
    </row>
    <row r="45">
      <c r="A45" t="n">
        <v>40</v>
      </c>
      <c r="B45" t="inlineStr">
        <is>
          <t>35</t>
        </is>
      </c>
      <c r="C45" t="inlineStr">
        <is>
          <t>Manoj Mani</t>
        </is>
      </c>
      <c r="D45" t="inlineStr">
        <is>
          <t>QA</t>
        </is>
      </c>
      <c r="E45" t="inlineStr">
        <is>
          <t>Srinivasan Beeman</t>
        </is>
      </c>
      <c r="F45">
        <f>IF(AND(OR('Department KPI Analytics'!$G$6="All", D45='Department KPI Analytics'!$G$6), OR('Department KPI Analytics'!$E$8="All", E45='Department KPI Analytics'!$E$8)), 16, 0)</f>
        <v/>
      </c>
      <c r="G45">
        <f>SUMIFS(Raw_Attendance_Data!$S$2:$S$3, Raw_Attendance_Data!$B$2:$B$3, B45, Raw_Attendance_Data!$A$2:$A$3, 1)</f>
        <v/>
      </c>
      <c r="H45">
        <f>MAX(F45-G45, 0)</f>
        <v/>
      </c>
      <c r="I45">
        <f>IF(F45&gt;0, G45/F45, 0)</f>
        <v/>
      </c>
      <c r="J45">
        <f>COUNTIFS(Raw_Attendance_Data!$B$2:$B$3, B45, Raw_Attendance_Data!$A$2:$A$3, 1, Raw_Attendance_Data!$Q$2:$Q$3, 1)</f>
        <v/>
      </c>
      <c r="K45">
        <f>COUNTIFS(Raw_Attendance_Data!$B$2:$B$3, B45, Raw_Attendance_Data!$A$2:$A$3, 1)</f>
        <v/>
      </c>
      <c r="L45">
        <f>IF(K45&gt;0, J45/K45, 1.0)</f>
        <v/>
      </c>
    </row>
    <row r="46">
      <c r="A46" t="n">
        <v>41</v>
      </c>
      <c r="B46" t="inlineStr">
        <is>
          <t>37</t>
        </is>
      </c>
      <c r="C46" t="inlineStr">
        <is>
          <t>Muthukrishnan Perumal</t>
        </is>
      </c>
      <c r="D46" t="inlineStr">
        <is>
          <t>QA</t>
        </is>
      </c>
      <c r="E46" t="inlineStr">
        <is>
          <t>Nethaji Raja</t>
        </is>
      </c>
      <c r="F46">
        <f>IF(AND(OR('Department KPI Analytics'!$G$6="All", D46='Department KPI Analytics'!$G$6), OR('Department KPI Analytics'!$E$8="All", E46='Department KPI Analytics'!$E$8)), 16, 0)</f>
        <v/>
      </c>
      <c r="G46">
        <f>SUMIFS(Raw_Attendance_Data!$S$2:$S$3, Raw_Attendance_Data!$B$2:$B$3, B46, Raw_Attendance_Data!$A$2:$A$3, 1)</f>
        <v/>
      </c>
      <c r="H46">
        <f>MAX(F46-G46, 0)</f>
        <v/>
      </c>
      <c r="I46">
        <f>IF(F46&gt;0, G46/F46, 0)</f>
        <v/>
      </c>
      <c r="J46">
        <f>COUNTIFS(Raw_Attendance_Data!$B$2:$B$3, B46, Raw_Attendance_Data!$A$2:$A$3, 1, Raw_Attendance_Data!$Q$2:$Q$3, 1)</f>
        <v/>
      </c>
      <c r="K46">
        <f>COUNTIFS(Raw_Attendance_Data!$B$2:$B$3, B46, Raw_Attendance_Data!$A$2:$A$3, 1)</f>
        <v/>
      </c>
      <c r="L46">
        <f>IF(K46&gt;0, J46/K46, 1.0)</f>
        <v/>
      </c>
    </row>
    <row r="47">
      <c r="A47" t="n">
        <v>42</v>
      </c>
      <c r="B47" t="inlineStr">
        <is>
          <t>40</t>
        </is>
      </c>
      <c r="C47" t="inlineStr">
        <is>
          <t>Vinit Praful Karia</t>
        </is>
      </c>
      <c r="D47" t="inlineStr">
        <is>
          <t>Sourcing</t>
        </is>
      </c>
      <c r="E47" t="inlineStr">
        <is>
          <t>Prakash Padukhone Muthiah</t>
        </is>
      </c>
      <c r="F47">
        <f>IF(AND(OR('Department KPI Analytics'!$G$6="All", D47='Department KPI Analytics'!$G$6), OR('Department KPI Analytics'!$E$8="All", E47='Department KPI Analytics'!$E$8)), 16, 0)</f>
        <v/>
      </c>
      <c r="G47">
        <f>SUMIFS(Raw_Attendance_Data!$S$2:$S$3, Raw_Attendance_Data!$B$2:$B$3, B47, Raw_Attendance_Data!$A$2:$A$3, 1)</f>
        <v/>
      </c>
      <c r="H47">
        <f>MAX(F47-G47, 0)</f>
        <v/>
      </c>
      <c r="I47">
        <f>IF(F47&gt;0, G47/F47, 0)</f>
        <v/>
      </c>
      <c r="J47">
        <f>COUNTIFS(Raw_Attendance_Data!$B$2:$B$3, B47, Raw_Attendance_Data!$A$2:$A$3, 1, Raw_Attendance_Data!$Q$2:$Q$3, 1)</f>
        <v/>
      </c>
      <c r="K47">
        <f>COUNTIFS(Raw_Attendance_Data!$B$2:$B$3, B47, Raw_Attendance_Data!$A$2:$A$3, 1)</f>
        <v/>
      </c>
      <c r="L47">
        <f>IF(K47&gt;0, J47/K47, 1.0)</f>
        <v/>
      </c>
    </row>
    <row r="48">
      <c r="A48" t="n">
        <v>43</v>
      </c>
      <c r="B48" t="inlineStr">
        <is>
          <t>41</t>
        </is>
      </c>
      <c r="C48" t="inlineStr">
        <is>
          <t>Radhalakshmi S</t>
        </is>
      </c>
      <c r="D48" t="inlineStr">
        <is>
          <t>HR</t>
        </is>
      </c>
      <c r="E48" t="inlineStr">
        <is>
          <t>Manasa R</t>
        </is>
      </c>
      <c r="F48">
        <f>IF(AND(OR('Department KPI Analytics'!$G$6="All", D48='Department KPI Analytics'!$G$6), OR('Department KPI Analytics'!$E$8="All", E48='Department KPI Analytics'!$E$8)), 16, 0)</f>
        <v/>
      </c>
      <c r="G48">
        <f>SUMIFS(Raw_Attendance_Data!$S$2:$S$3, Raw_Attendance_Data!$B$2:$B$3, B48, Raw_Attendance_Data!$A$2:$A$3, 1)</f>
        <v/>
      </c>
      <c r="H48">
        <f>MAX(F48-G48, 0)</f>
        <v/>
      </c>
      <c r="I48">
        <f>IF(F48&gt;0, G48/F48, 0)</f>
        <v/>
      </c>
      <c r="J48">
        <f>COUNTIFS(Raw_Attendance_Data!$B$2:$B$3, B48, Raw_Attendance_Data!$A$2:$A$3, 1, Raw_Attendance_Data!$Q$2:$Q$3, 1)</f>
        <v/>
      </c>
      <c r="K48">
        <f>COUNTIFS(Raw_Attendance_Data!$B$2:$B$3, B48, Raw_Attendance_Data!$A$2:$A$3, 1)</f>
        <v/>
      </c>
      <c r="L48">
        <f>IF(K48&gt;0, J48/K48, 1.0)</f>
        <v/>
      </c>
    </row>
    <row r="49">
      <c r="A49" t="n">
        <v>44</v>
      </c>
      <c r="B49" t="inlineStr">
        <is>
          <t>42</t>
        </is>
      </c>
      <c r="C49" t="inlineStr">
        <is>
          <t>Santhoshkumar Murugan</t>
        </is>
      </c>
      <c r="D49" t="inlineStr">
        <is>
          <t>QA</t>
        </is>
      </c>
      <c r="E49" t="inlineStr">
        <is>
          <t>Srinivasan Beeman</t>
        </is>
      </c>
      <c r="F49">
        <f>IF(AND(OR('Department KPI Analytics'!$G$6="All", D49='Department KPI Analytics'!$G$6), OR('Department KPI Analytics'!$E$8="All", E49='Department KPI Analytics'!$E$8)), 16, 0)</f>
        <v/>
      </c>
      <c r="G49">
        <f>SUMIFS(Raw_Attendance_Data!$S$2:$S$3, Raw_Attendance_Data!$B$2:$B$3, B49, Raw_Attendance_Data!$A$2:$A$3, 1)</f>
        <v/>
      </c>
      <c r="H49">
        <f>MAX(F49-G49, 0)</f>
        <v/>
      </c>
      <c r="I49">
        <f>IF(F49&gt;0, G49/F49, 0)</f>
        <v/>
      </c>
      <c r="J49">
        <f>COUNTIFS(Raw_Attendance_Data!$B$2:$B$3, B49, Raw_Attendance_Data!$A$2:$A$3, 1, Raw_Attendance_Data!$Q$2:$Q$3, 1)</f>
        <v/>
      </c>
      <c r="K49">
        <f>COUNTIFS(Raw_Attendance_Data!$B$2:$B$3, B49, Raw_Attendance_Data!$A$2:$A$3, 1)</f>
        <v/>
      </c>
      <c r="L49">
        <f>IF(K49&gt;0, J49/K49, 1.0)</f>
        <v/>
      </c>
    </row>
    <row r="50">
      <c r="A50" t="n">
        <v>45</v>
      </c>
      <c r="B50" t="inlineStr">
        <is>
          <t>44</t>
        </is>
      </c>
      <c r="C50" t="inlineStr">
        <is>
          <t>Harsora Rajan Bakulbhai</t>
        </is>
      </c>
      <c r="D50" t="inlineStr">
        <is>
          <t>QA</t>
        </is>
      </c>
      <c r="E50" t="inlineStr">
        <is>
          <t>Vinit Praful Karia</t>
        </is>
      </c>
      <c r="F50">
        <f>IF(AND(OR('Department KPI Analytics'!$G$6="All", D50='Department KPI Analytics'!$G$6), OR('Department KPI Analytics'!$E$8="All", E50='Department KPI Analytics'!$E$8)), 16, 0)</f>
        <v/>
      </c>
      <c r="G50">
        <f>SUMIFS(Raw_Attendance_Data!$S$2:$S$3, Raw_Attendance_Data!$B$2:$B$3, B50, Raw_Attendance_Data!$A$2:$A$3, 1)</f>
        <v/>
      </c>
      <c r="H50">
        <f>MAX(F50-G50, 0)</f>
        <v/>
      </c>
      <c r="I50">
        <f>IF(F50&gt;0, G50/F50, 0)</f>
        <v/>
      </c>
      <c r="J50">
        <f>COUNTIFS(Raw_Attendance_Data!$B$2:$B$3, B50, Raw_Attendance_Data!$A$2:$A$3, 1, Raw_Attendance_Data!$Q$2:$Q$3, 1)</f>
        <v/>
      </c>
      <c r="K50">
        <f>COUNTIFS(Raw_Attendance_Data!$B$2:$B$3, B50, Raw_Attendance_Data!$A$2:$A$3, 1)</f>
        <v/>
      </c>
      <c r="L50">
        <f>IF(K50&gt;0, J50/K50, 1.0)</f>
        <v/>
      </c>
    </row>
    <row r="51">
      <c r="A51" t="n">
        <v>46</v>
      </c>
      <c r="B51" t="inlineStr">
        <is>
          <t>47</t>
        </is>
      </c>
      <c r="C51" t="inlineStr">
        <is>
          <t>Borkhatariya Tushar Jentilal</t>
        </is>
      </c>
      <c r="D51" t="inlineStr">
        <is>
          <t>Stores</t>
        </is>
      </c>
      <c r="E51" t="inlineStr">
        <is>
          <t>Vinit Praful Karia</t>
        </is>
      </c>
      <c r="F51">
        <f>IF(AND(OR('Department KPI Analytics'!$G$6="All", D51='Department KPI Analytics'!$G$6), OR('Department KPI Analytics'!$E$8="All", E51='Department KPI Analytics'!$E$8)), 16, 0)</f>
        <v/>
      </c>
      <c r="G51">
        <f>SUMIFS(Raw_Attendance_Data!$S$2:$S$3, Raw_Attendance_Data!$B$2:$B$3, B51, Raw_Attendance_Data!$A$2:$A$3, 1)</f>
        <v/>
      </c>
      <c r="H51">
        <f>MAX(F51-G51, 0)</f>
        <v/>
      </c>
      <c r="I51">
        <f>IF(F51&gt;0, G51/F51, 0)</f>
        <v/>
      </c>
      <c r="J51">
        <f>COUNTIFS(Raw_Attendance_Data!$B$2:$B$3, B51, Raw_Attendance_Data!$A$2:$A$3, 1, Raw_Attendance_Data!$Q$2:$Q$3, 1)</f>
        <v/>
      </c>
      <c r="K51">
        <f>COUNTIFS(Raw_Attendance_Data!$B$2:$B$3, B51, Raw_Attendance_Data!$A$2:$A$3, 1)</f>
        <v/>
      </c>
      <c r="L51">
        <f>IF(K51&gt;0, J51/K51, 1.0)</f>
        <v/>
      </c>
    </row>
    <row r="52">
      <c r="A52" t="n">
        <v>47</v>
      </c>
      <c r="B52" t="inlineStr">
        <is>
          <t>49</t>
        </is>
      </c>
      <c r="C52" t="inlineStr">
        <is>
          <t>Roopa R</t>
        </is>
      </c>
      <c r="D52" t="inlineStr">
        <is>
          <t>CRM</t>
        </is>
      </c>
      <c r="E52" t="inlineStr">
        <is>
          <t>Prakash Padukhone Muthiah</t>
        </is>
      </c>
      <c r="F52">
        <f>IF(AND(OR('Department KPI Analytics'!$G$6="All", D52='Department KPI Analytics'!$G$6), OR('Department KPI Analytics'!$E$8="All", E52='Department KPI Analytics'!$E$8)), 16, 0)</f>
        <v/>
      </c>
      <c r="G52">
        <f>SUMIFS(Raw_Attendance_Data!$S$2:$S$3, Raw_Attendance_Data!$B$2:$B$3, B52, Raw_Attendance_Data!$A$2:$A$3, 1)</f>
        <v/>
      </c>
      <c r="H52">
        <f>MAX(F52-G52, 0)</f>
        <v/>
      </c>
      <c r="I52">
        <f>IF(F52&gt;0, G52/F52, 0)</f>
        <v/>
      </c>
      <c r="J52">
        <f>COUNTIFS(Raw_Attendance_Data!$B$2:$B$3, B52, Raw_Attendance_Data!$A$2:$A$3, 1, Raw_Attendance_Data!$Q$2:$Q$3, 1)</f>
        <v/>
      </c>
      <c r="K52">
        <f>COUNTIFS(Raw_Attendance_Data!$B$2:$B$3, B52, Raw_Attendance_Data!$A$2:$A$3, 1)</f>
        <v/>
      </c>
      <c r="L52">
        <f>IF(K52&gt;0, J52/K52, 1.0)</f>
        <v/>
      </c>
    </row>
    <row r="53">
      <c r="A53" t="n">
        <v>48</v>
      </c>
      <c r="B53" t="inlineStr">
        <is>
          <t>50</t>
        </is>
      </c>
      <c r="C53" t="inlineStr">
        <is>
          <t>Shajahan C</t>
        </is>
      </c>
      <c r="D53" t="inlineStr">
        <is>
          <t>QA</t>
        </is>
      </c>
      <c r="E53" t="inlineStr">
        <is>
          <t>Srinivasan Beeman</t>
        </is>
      </c>
      <c r="F53">
        <f>IF(AND(OR('Department KPI Analytics'!$G$6="All", D53='Department KPI Analytics'!$G$6), OR('Department KPI Analytics'!$E$8="All", E53='Department KPI Analytics'!$E$8)), 16, 0)</f>
        <v/>
      </c>
      <c r="G53">
        <f>SUMIFS(Raw_Attendance_Data!$S$2:$S$3, Raw_Attendance_Data!$B$2:$B$3, B53, Raw_Attendance_Data!$A$2:$A$3, 1)</f>
        <v/>
      </c>
      <c r="H53">
        <f>MAX(F53-G53, 0)</f>
        <v/>
      </c>
      <c r="I53">
        <f>IF(F53&gt;0, G53/F53, 0)</f>
        <v/>
      </c>
      <c r="J53">
        <f>COUNTIFS(Raw_Attendance_Data!$B$2:$B$3, B53, Raw_Attendance_Data!$A$2:$A$3, 1, Raw_Attendance_Data!$Q$2:$Q$3, 1)</f>
        <v/>
      </c>
      <c r="K53">
        <f>COUNTIFS(Raw_Attendance_Data!$B$2:$B$3, B53, Raw_Attendance_Data!$A$2:$A$3, 1)</f>
        <v/>
      </c>
      <c r="L53">
        <f>IF(K53&gt;0, J53/K53, 1.0)</f>
        <v/>
      </c>
    </row>
    <row r="54">
      <c r="A54" t="n">
        <v>49</v>
      </c>
      <c r="B54" t="inlineStr">
        <is>
          <t>52</t>
        </is>
      </c>
      <c r="C54" t="inlineStr">
        <is>
          <t>Santhoshkumar Saravanan</t>
        </is>
      </c>
      <c r="D54" t="inlineStr">
        <is>
          <t>NPD</t>
        </is>
      </c>
      <c r="E54" t="inlineStr">
        <is>
          <t>Naveenkumar M</t>
        </is>
      </c>
      <c r="F54">
        <f>IF(AND(OR('Department KPI Analytics'!$G$6="All", D54='Department KPI Analytics'!$G$6), OR('Department KPI Analytics'!$E$8="All", E54='Department KPI Analytics'!$E$8)), 16, 0)</f>
        <v/>
      </c>
      <c r="G54">
        <f>SUMIFS(Raw_Attendance_Data!$S$2:$S$3, Raw_Attendance_Data!$B$2:$B$3, B54, Raw_Attendance_Data!$A$2:$A$3, 1)</f>
        <v/>
      </c>
      <c r="H54">
        <f>MAX(F54-G54, 0)</f>
        <v/>
      </c>
      <c r="I54">
        <f>IF(F54&gt;0, G54/F54, 0)</f>
        <v/>
      </c>
      <c r="J54">
        <f>COUNTIFS(Raw_Attendance_Data!$B$2:$B$3, B54, Raw_Attendance_Data!$A$2:$A$3, 1, Raw_Attendance_Data!$Q$2:$Q$3, 1)</f>
        <v/>
      </c>
      <c r="K54">
        <f>COUNTIFS(Raw_Attendance_Data!$B$2:$B$3, B54, Raw_Attendance_Data!$A$2:$A$3, 1)</f>
        <v/>
      </c>
      <c r="L54">
        <f>IF(K54&gt;0, J54/K54, 1.0)</f>
        <v/>
      </c>
    </row>
    <row r="55">
      <c r="A55" t="n">
        <v>50</v>
      </c>
      <c r="B55" t="inlineStr">
        <is>
          <t>53</t>
        </is>
      </c>
      <c r="C55" t="inlineStr">
        <is>
          <t>Hargan Satish Bhikhalal</t>
        </is>
      </c>
      <c r="D55" t="inlineStr">
        <is>
          <t>Sourcing</t>
        </is>
      </c>
      <c r="E55" t="inlineStr">
        <is>
          <t>Vinit Praful Karia</t>
        </is>
      </c>
      <c r="F55">
        <f>IF(AND(OR('Department KPI Analytics'!$G$6="All", D55='Department KPI Analytics'!$G$6), OR('Department KPI Analytics'!$E$8="All", E55='Department KPI Analytics'!$E$8)), 16, 0)</f>
        <v/>
      </c>
      <c r="G55">
        <f>SUMIFS(Raw_Attendance_Data!$S$2:$S$3, Raw_Attendance_Data!$B$2:$B$3, B55, Raw_Attendance_Data!$A$2:$A$3, 1)</f>
        <v/>
      </c>
      <c r="H55">
        <f>MAX(F55-G55, 0)</f>
        <v/>
      </c>
      <c r="I55">
        <f>IF(F55&gt;0, G55/F55, 0)</f>
        <v/>
      </c>
      <c r="J55">
        <f>COUNTIFS(Raw_Attendance_Data!$B$2:$B$3, B55, Raw_Attendance_Data!$A$2:$A$3, 1, Raw_Attendance_Data!$Q$2:$Q$3, 1)</f>
        <v/>
      </c>
      <c r="K55">
        <f>COUNTIFS(Raw_Attendance_Data!$B$2:$B$3, B55, Raw_Attendance_Data!$A$2:$A$3, 1)</f>
        <v/>
      </c>
      <c r="L55">
        <f>IF(K55&gt;0, J55/K55, 1.0)</f>
        <v/>
      </c>
    </row>
    <row r="56">
      <c r="A56" t="n">
        <v>51</v>
      </c>
      <c r="B56" t="inlineStr">
        <is>
          <t>54</t>
        </is>
      </c>
      <c r="C56" t="inlineStr">
        <is>
          <t>Hiren Rajeshbhai Chauhan</t>
        </is>
      </c>
      <c r="D56" t="inlineStr">
        <is>
          <t>QA</t>
        </is>
      </c>
      <c r="E56" t="inlineStr">
        <is>
          <t>Vinit Praful Karia</t>
        </is>
      </c>
      <c r="F56">
        <f>IF(AND(OR('Department KPI Analytics'!$G$6="All", D56='Department KPI Analytics'!$G$6), OR('Department KPI Analytics'!$E$8="All", E56='Department KPI Analytics'!$E$8)), 16, 0)</f>
        <v/>
      </c>
      <c r="G56">
        <f>SUMIFS(Raw_Attendance_Data!$S$2:$S$3, Raw_Attendance_Data!$B$2:$B$3, B56, Raw_Attendance_Data!$A$2:$A$3, 1)</f>
        <v/>
      </c>
      <c r="H56">
        <f>MAX(F56-G56, 0)</f>
        <v/>
      </c>
      <c r="I56">
        <f>IF(F56&gt;0, G56/F56, 0)</f>
        <v/>
      </c>
      <c r="J56">
        <f>COUNTIFS(Raw_Attendance_Data!$B$2:$B$3, B56, Raw_Attendance_Data!$A$2:$A$3, 1, Raw_Attendance_Data!$Q$2:$Q$3, 1)</f>
        <v/>
      </c>
      <c r="K56">
        <f>COUNTIFS(Raw_Attendance_Data!$B$2:$B$3, B56, Raw_Attendance_Data!$A$2:$A$3, 1)</f>
        <v/>
      </c>
      <c r="L56">
        <f>IF(K56&gt;0, J56/K56, 1.0)</f>
        <v/>
      </c>
    </row>
    <row r="57">
      <c r="A57" t="n">
        <v>52</v>
      </c>
      <c r="B57" t="inlineStr">
        <is>
          <t>55</t>
        </is>
      </c>
      <c r="C57" t="inlineStr">
        <is>
          <t>Dhori Vikas Nanajibhai</t>
        </is>
      </c>
      <c r="D57" t="inlineStr">
        <is>
          <t>QA</t>
        </is>
      </c>
      <c r="E57" t="inlineStr">
        <is>
          <t>Vinit Praful Karia</t>
        </is>
      </c>
      <c r="F57">
        <f>IF(AND(OR('Department KPI Analytics'!$G$6="All", D57='Department KPI Analytics'!$G$6), OR('Department KPI Analytics'!$E$8="All", E57='Department KPI Analytics'!$E$8)), 16, 0)</f>
        <v/>
      </c>
      <c r="G57">
        <f>SUMIFS(Raw_Attendance_Data!$S$2:$S$3, Raw_Attendance_Data!$B$2:$B$3, B57, Raw_Attendance_Data!$A$2:$A$3, 1)</f>
        <v/>
      </c>
      <c r="H57">
        <f>MAX(F57-G57, 0)</f>
        <v/>
      </c>
      <c r="I57">
        <f>IF(F57&gt;0, G57/F57, 0)</f>
        <v/>
      </c>
      <c r="J57">
        <f>COUNTIFS(Raw_Attendance_Data!$B$2:$B$3, B57, Raw_Attendance_Data!$A$2:$A$3, 1, Raw_Attendance_Data!$Q$2:$Q$3, 1)</f>
        <v/>
      </c>
      <c r="K57">
        <f>COUNTIFS(Raw_Attendance_Data!$B$2:$B$3, B57, Raw_Attendance_Data!$A$2:$A$3, 1)</f>
        <v/>
      </c>
      <c r="L57">
        <f>IF(K57&gt;0, J57/K57, 1.0)</f>
        <v/>
      </c>
    </row>
    <row r="58">
      <c r="A58" t="n">
        <v>53</v>
      </c>
      <c r="B58" t="inlineStr">
        <is>
          <t>56</t>
        </is>
      </c>
      <c r="C58" t="inlineStr">
        <is>
          <t>Swetha Swetha</t>
        </is>
      </c>
      <c r="D58" t="inlineStr">
        <is>
          <t>Stores</t>
        </is>
      </c>
      <c r="E58" t="inlineStr">
        <is>
          <t>Anil Kumar Joshi</t>
        </is>
      </c>
      <c r="F58">
        <f>IF(AND(OR('Department KPI Analytics'!$G$6="All", D58='Department KPI Analytics'!$G$6), OR('Department KPI Analytics'!$E$8="All", E58='Department KPI Analytics'!$E$8)), 16, 0)</f>
        <v/>
      </c>
      <c r="G58">
        <f>SUMIFS(Raw_Attendance_Data!$S$2:$S$3, Raw_Attendance_Data!$B$2:$B$3, B58, Raw_Attendance_Data!$A$2:$A$3, 1)</f>
        <v/>
      </c>
      <c r="H58">
        <f>MAX(F58-G58, 0)</f>
        <v/>
      </c>
      <c r="I58">
        <f>IF(F58&gt;0, G58/F58, 0)</f>
        <v/>
      </c>
      <c r="J58">
        <f>COUNTIFS(Raw_Attendance_Data!$B$2:$B$3, B58, Raw_Attendance_Data!$A$2:$A$3, 1, Raw_Attendance_Data!$Q$2:$Q$3, 1)</f>
        <v/>
      </c>
      <c r="K58">
        <f>COUNTIFS(Raw_Attendance_Data!$B$2:$B$3, B58, Raw_Attendance_Data!$A$2:$A$3, 1)</f>
        <v/>
      </c>
      <c r="L58">
        <f>IF(K58&gt;0, J58/K58, 1.0)</f>
        <v/>
      </c>
    </row>
    <row r="59">
      <c r="A59" t="n">
        <v>54</v>
      </c>
      <c r="B59" t="inlineStr">
        <is>
          <t>57</t>
        </is>
      </c>
      <c r="C59" t="inlineStr">
        <is>
          <t>Logeshkumar Mohan</t>
        </is>
      </c>
      <c r="D59" t="inlineStr">
        <is>
          <t>QA</t>
        </is>
      </c>
      <c r="E59" t="inlineStr">
        <is>
          <t>Srinivasan Beeman</t>
        </is>
      </c>
      <c r="F59">
        <f>IF(AND(OR('Department KPI Analytics'!$G$6="All", D59='Department KPI Analytics'!$G$6), OR('Department KPI Analytics'!$E$8="All", E59='Department KPI Analytics'!$E$8)), 16, 0)</f>
        <v/>
      </c>
      <c r="G59">
        <f>SUMIFS(Raw_Attendance_Data!$S$2:$S$3, Raw_Attendance_Data!$B$2:$B$3, B59, Raw_Attendance_Data!$A$2:$A$3, 1)</f>
        <v/>
      </c>
      <c r="H59">
        <f>MAX(F59-G59, 0)</f>
        <v/>
      </c>
      <c r="I59">
        <f>IF(F59&gt;0, G59/F59, 0)</f>
        <v/>
      </c>
      <c r="J59">
        <f>COUNTIFS(Raw_Attendance_Data!$B$2:$B$3, B59, Raw_Attendance_Data!$A$2:$A$3, 1, Raw_Attendance_Data!$Q$2:$Q$3, 1)</f>
        <v/>
      </c>
      <c r="K59">
        <f>COUNTIFS(Raw_Attendance_Data!$B$2:$B$3, B59, Raw_Attendance_Data!$A$2:$A$3, 1)</f>
        <v/>
      </c>
      <c r="L59">
        <f>IF(K59&gt;0, J59/K59, 1.0)</f>
        <v/>
      </c>
    </row>
    <row r="60">
      <c r="A60" t="n">
        <v>55</v>
      </c>
      <c r="B60" t="inlineStr">
        <is>
          <t>58</t>
        </is>
      </c>
      <c r="C60" t="inlineStr">
        <is>
          <t>P Santhosh Kumar</t>
        </is>
      </c>
      <c r="D60" t="inlineStr">
        <is>
          <t>NPD</t>
        </is>
      </c>
      <c r="E60" t="inlineStr">
        <is>
          <t>R Rathina Kumar</t>
        </is>
      </c>
      <c r="F60">
        <f>IF(AND(OR('Department KPI Analytics'!$G$6="All", D60='Department KPI Analytics'!$G$6), OR('Department KPI Analytics'!$E$8="All", E60='Department KPI Analytics'!$E$8)), 16, 0)</f>
        <v/>
      </c>
      <c r="G60">
        <f>SUMIFS(Raw_Attendance_Data!$S$2:$S$3, Raw_Attendance_Data!$B$2:$B$3, B60, Raw_Attendance_Data!$A$2:$A$3, 1)</f>
        <v/>
      </c>
      <c r="H60">
        <f>MAX(F60-G60, 0)</f>
        <v/>
      </c>
      <c r="I60">
        <f>IF(F60&gt;0, G60/F60, 0)</f>
        <v/>
      </c>
      <c r="J60">
        <f>COUNTIFS(Raw_Attendance_Data!$B$2:$B$3, B60, Raw_Attendance_Data!$A$2:$A$3, 1, Raw_Attendance_Data!$Q$2:$Q$3, 1)</f>
        <v/>
      </c>
      <c r="K60">
        <f>COUNTIFS(Raw_Attendance_Data!$B$2:$B$3, B60, Raw_Attendance_Data!$A$2:$A$3, 1)</f>
        <v/>
      </c>
      <c r="L60">
        <f>IF(K60&gt;0, J60/K60, 1.0)</f>
        <v/>
      </c>
    </row>
    <row r="61">
      <c r="A61" t="n">
        <v>56</v>
      </c>
      <c r="B61" t="inlineStr">
        <is>
          <t>59</t>
        </is>
      </c>
      <c r="C61" t="inlineStr">
        <is>
          <t>Anil Kumar Joshi</t>
        </is>
      </c>
      <c r="D61" t="inlineStr">
        <is>
          <t>Sourcing</t>
        </is>
      </c>
      <c r="E61" t="inlineStr">
        <is>
          <t>Ketan BC</t>
        </is>
      </c>
      <c r="F61">
        <f>IF(AND(OR('Department KPI Analytics'!$G$6="All", D61='Department KPI Analytics'!$G$6), OR('Department KPI Analytics'!$E$8="All", E61='Department KPI Analytics'!$E$8)), 16, 0)</f>
        <v/>
      </c>
      <c r="G61">
        <f>SUMIFS(Raw_Attendance_Data!$S$2:$S$3, Raw_Attendance_Data!$B$2:$B$3, B61, Raw_Attendance_Data!$A$2:$A$3, 1)</f>
        <v/>
      </c>
      <c r="H61">
        <f>MAX(F61-G61, 0)</f>
        <v/>
      </c>
      <c r="I61">
        <f>IF(F61&gt;0, G61/F61, 0)</f>
        <v/>
      </c>
      <c r="J61">
        <f>COUNTIFS(Raw_Attendance_Data!$B$2:$B$3, B61, Raw_Attendance_Data!$A$2:$A$3, 1, Raw_Attendance_Data!$Q$2:$Q$3, 1)</f>
        <v/>
      </c>
      <c r="K61">
        <f>COUNTIFS(Raw_Attendance_Data!$B$2:$B$3, B61, Raw_Attendance_Data!$A$2:$A$3, 1)</f>
        <v/>
      </c>
      <c r="L61">
        <f>IF(K61&gt;0, J61/K61, 1.0)</f>
        <v/>
      </c>
    </row>
    <row r="62">
      <c r="A62" t="n">
        <v>57</v>
      </c>
      <c r="B62" t="inlineStr">
        <is>
          <t>65</t>
        </is>
      </c>
      <c r="C62" t="inlineStr">
        <is>
          <t>B Dasthagir</t>
        </is>
      </c>
      <c r="D62" t="inlineStr">
        <is>
          <t>QA</t>
        </is>
      </c>
      <c r="E62" t="inlineStr">
        <is>
          <t>Srinivasan Beeman</t>
        </is>
      </c>
      <c r="F62">
        <f>IF(AND(OR('Department KPI Analytics'!$G$6="All", D62='Department KPI Analytics'!$G$6), OR('Department KPI Analytics'!$E$8="All", E62='Department KPI Analytics'!$E$8)), 16, 0)</f>
        <v/>
      </c>
      <c r="G62">
        <f>SUMIFS(Raw_Attendance_Data!$S$2:$S$3, Raw_Attendance_Data!$B$2:$B$3, B62, Raw_Attendance_Data!$A$2:$A$3, 1)</f>
        <v/>
      </c>
      <c r="H62">
        <f>MAX(F62-G62, 0)</f>
        <v/>
      </c>
      <c r="I62">
        <f>IF(F62&gt;0, G62/F62, 0)</f>
        <v/>
      </c>
      <c r="J62">
        <f>COUNTIFS(Raw_Attendance_Data!$B$2:$B$3, B62, Raw_Attendance_Data!$A$2:$A$3, 1, Raw_Attendance_Data!$Q$2:$Q$3, 1)</f>
        <v/>
      </c>
      <c r="K62">
        <f>COUNTIFS(Raw_Attendance_Data!$B$2:$B$3, B62, Raw_Attendance_Data!$A$2:$A$3, 1)</f>
        <v/>
      </c>
      <c r="L62">
        <f>IF(K62&gt;0, J62/K62, 1.0)</f>
        <v/>
      </c>
    </row>
    <row r="63">
      <c r="A63" t="n">
        <v>58</v>
      </c>
      <c r="B63" t="inlineStr">
        <is>
          <t>66</t>
        </is>
      </c>
      <c r="C63" t="inlineStr">
        <is>
          <t>Babu B</t>
        </is>
      </c>
      <c r="D63" t="inlineStr">
        <is>
          <t>Stores</t>
        </is>
      </c>
      <c r="E63" t="inlineStr">
        <is>
          <t>Swetha Swetha</t>
        </is>
      </c>
      <c r="F63">
        <f>IF(AND(OR('Department KPI Analytics'!$G$6="All", D63='Department KPI Analytics'!$G$6), OR('Department KPI Analytics'!$E$8="All", E63='Department KPI Analytics'!$E$8)), 16, 0)</f>
        <v/>
      </c>
      <c r="G63">
        <f>SUMIFS(Raw_Attendance_Data!$S$2:$S$3, Raw_Attendance_Data!$B$2:$B$3, B63, Raw_Attendance_Data!$A$2:$A$3, 1)</f>
        <v/>
      </c>
      <c r="H63">
        <f>MAX(F63-G63, 0)</f>
        <v/>
      </c>
      <c r="I63">
        <f>IF(F63&gt;0, G63/F63, 0)</f>
        <v/>
      </c>
      <c r="J63">
        <f>COUNTIFS(Raw_Attendance_Data!$B$2:$B$3, B63, Raw_Attendance_Data!$A$2:$A$3, 1, Raw_Attendance_Data!$Q$2:$Q$3, 1)</f>
        <v/>
      </c>
      <c r="K63">
        <f>COUNTIFS(Raw_Attendance_Data!$B$2:$B$3, B63, Raw_Attendance_Data!$A$2:$A$3, 1)</f>
        <v/>
      </c>
      <c r="L63">
        <f>IF(K63&gt;0, J63/K63, 1.0)</f>
        <v/>
      </c>
    </row>
    <row r="64">
      <c r="A64" t="n">
        <v>59</v>
      </c>
      <c r="B64" t="inlineStr">
        <is>
          <t>67</t>
        </is>
      </c>
      <c r="C64" t="inlineStr">
        <is>
          <t>Rambabu K</t>
        </is>
      </c>
      <c r="D64" t="inlineStr">
        <is>
          <t>Accounts</t>
        </is>
      </c>
      <c r="E64" t="inlineStr">
        <is>
          <t>Arunachalam Palaniappan</t>
        </is>
      </c>
      <c r="F64">
        <f>IF(AND(OR('Department KPI Analytics'!$G$6="All", D64='Department KPI Analytics'!$G$6), OR('Department KPI Analytics'!$E$8="All", E64='Department KPI Analytics'!$E$8)), 16, 0)</f>
        <v/>
      </c>
      <c r="G64">
        <f>SUMIFS(Raw_Attendance_Data!$S$2:$S$3, Raw_Attendance_Data!$B$2:$B$3, B64, Raw_Attendance_Data!$A$2:$A$3, 1)</f>
        <v/>
      </c>
      <c r="H64">
        <f>MAX(F64-G64, 0)</f>
        <v/>
      </c>
      <c r="I64">
        <f>IF(F64&gt;0, G64/F64, 0)</f>
        <v/>
      </c>
      <c r="J64">
        <f>COUNTIFS(Raw_Attendance_Data!$B$2:$B$3, B64, Raw_Attendance_Data!$A$2:$A$3, 1, Raw_Attendance_Data!$Q$2:$Q$3, 1)</f>
        <v/>
      </c>
      <c r="K64">
        <f>COUNTIFS(Raw_Attendance_Data!$B$2:$B$3, B64, Raw_Attendance_Data!$A$2:$A$3, 1)</f>
        <v/>
      </c>
      <c r="L64">
        <f>IF(K64&gt;0, J64/K64, 1.0)</f>
        <v/>
      </c>
    </row>
    <row r="65">
      <c r="A65" t="n">
        <v>60</v>
      </c>
      <c r="B65" t="inlineStr">
        <is>
          <t>68</t>
        </is>
      </c>
      <c r="C65" t="inlineStr">
        <is>
          <t>Prathap Gundapa</t>
        </is>
      </c>
      <c r="D65" t="inlineStr">
        <is>
          <t>Accounts</t>
        </is>
      </c>
      <c r="E65" t="inlineStr">
        <is>
          <t>Arunachalam Palaniappan</t>
        </is>
      </c>
      <c r="F65">
        <f>IF(AND(OR('Department KPI Analytics'!$G$6="All", D65='Department KPI Analytics'!$G$6), OR('Department KPI Analytics'!$E$8="All", E65='Department KPI Analytics'!$E$8)), 16, 0)</f>
        <v/>
      </c>
      <c r="G65">
        <f>SUMIFS(Raw_Attendance_Data!$S$2:$S$3, Raw_Attendance_Data!$B$2:$B$3, B65, Raw_Attendance_Data!$A$2:$A$3, 1)</f>
        <v/>
      </c>
      <c r="H65">
        <f>MAX(F65-G65, 0)</f>
        <v/>
      </c>
      <c r="I65">
        <f>IF(F65&gt;0, G65/F65, 0)</f>
        <v/>
      </c>
      <c r="J65">
        <f>COUNTIFS(Raw_Attendance_Data!$B$2:$B$3, B65, Raw_Attendance_Data!$A$2:$A$3, 1, Raw_Attendance_Data!$Q$2:$Q$3, 1)</f>
        <v/>
      </c>
      <c r="K65">
        <f>COUNTIFS(Raw_Attendance_Data!$B$2:$B$3, B65, Raw_Attendance_Data!$A$2:$A$3, 1)</f>
        <v/>
      </c>
      <c r="L65">
        <f>IF(K65&gt;0, J65/K65, 1.0)</f>
        <v/>
      </c>
    </row>
    <row r="66">
      <c r="A66" t="n">
        <v>61</v>
      </c>
      <c r="B66" t="inlineStr">
        <is>
          <t>69</t>
        </is>
      </c>
      <c r="C66" t="inlineStr">
        <is>
          <t>Supritha Raja</t>
        </is>
      </c>
      <c r="D66" t="inlineStr">
        <is>
          <t>Sourcing</t>
        </is>
      </c>
      <c r="E66" t="inlineStr">
        <is>
          <t>Anil Kumar Joshi</t>
        </is>
      </c>
      <c r="F66">
        <f>IF(AND(OR('Department KPI Analytics'!$G$6="All", D66='Department KPI Analytics'!$G$6), OR('Department KPI Analytics'!$E$8="All", E66='Department KPI Analytics'!$E$8)), 16, 0)</f>
        <v/>
      </c>
      <c r="G66">
        <f>SUMIFS(Raw_Attendance_Data!$S$2:$S$3, Raw_Attendance_Data!$B$2:$B$3, B66, Raw_Attendance_Data!$A$2:$A$3, 1)</f>
        <v/>
      </c>
      <c r="H66">
        <f>MAX(F66-G66, 0)</f>
        <v/>
      </c>
      <c r="I66">
        <f>IF(F66&gt;0, G66/F66, 0)</f>
        <v/>
      </c>
      <c r="J66">
        <f>COUNTIFS(Raw_Attendance_Data!$B$2:$B$3, B66, Raw_Attendance_Data!$A$2:$A$3, 1, Raw_Attendance_Data!$Q$2:$Q$3, 1)</f>
        <v/>
      </c>
      <c r="K66">
        <f>COUNTIFS(Raw_Attendance_Data!$B$2:$B$3, B66, Raw_Attendance_Data!$A$2:$A$3, 1)</f>
        <v/>
      </c>
      <c r="L66">
        <f>IF(K66&gt;0, J66/K66, 1.0)</f>
        <v/>
      </c>
    </row>
    <row r="67">
      <c r="A67" t="n">
        <v>62</v>
      </c>
      <c r="B67" t="inlineStr">
        <is>
          <t>70</t>
        </is>
      </c>
      <c r="C67" t="inlineStr">
        <is>
          <t>Mohan S</t>
        </is>
      </c>
      <c r="D67" t="inlineStr">
        <is>
          <t>Driver</t>
        </is>
      </c>
      <c r="E67" t="inlineStr">
        <is>
          <t>Sakthivel Muthu</t>
        </is>
      </c>
      <c r="F67">
        <f>IF(AND(OR('Department KPI Analytics'!$G$6="All", D67='Department KPI Analytics'!$G$6), OR('Department KPI Analytics'!$E$8="All", E67='Department KPI Analytics'!$E$8)), 16, 0)</f>
        <v/>
      </c>
      <c r="G67">
        <f>SUMIFS(Raw_Attendance_Data!$S$2:$S$3, Raw_Attendance_Data!$B$2:$B$3, B67, Raw_Attendance_Data!$A$2:$A$3, 1)</f>
        <v/>
      </c>
      <c r="H67">
        <f>MAX(F67-G67, 0)</f>
        <v/>
      </c>
      <c r="I67">
        <f>IF(F67&gt;0, G67/F67, 0)</f>
        <v/>
      </c>
      <c r="J67">
        <f>COUNTIFS(Raw_Attendance_Data!$B$2:$B$3, B67, Raw_Attendance_Data!$A$2:$A$3, 1, Raw_Attendance_Data!$Q$2:$Q$3, 1)</f>
        <v/>
      </c>
      <c r="K67">
        <f>COUNTIFS(Raw_Attendance_Data!$B$2:$B$3, B67, Raw_Attendance_Data!$A$2:$A$3, 1)</f>
        <v/>
      </c>
      <c r="L67">
        <f>IF(K67&gt;0, J67/K67, 1.0)</f>
        <v/>
      </c>
    </row>
    <row r="68">
      <c r="A68" t="n">
        <v>63</v>
      </c>
      <c r="B68" t="inlineStr">
        <is>
          <t>71</t>
        </is>
      </c>
      <c r="C68" t="inlineStr">
        <is>
          <t>Prabakaran .</t>
        </is>
      </c>
      <c r="D68" t="inlineStr">
        <is>
          <t>QA</t>
        </is>
      </c>
      <c r="E68" t="inlineStr">
        <is>
          <t>R Rathina Kumar</t>
        </is>
      </c>
      <c r="F68">
        <f>IF(AND(OR('Department KPI Analytics'!$G$6="All", D68='Department KPI Analytics'!$G$6), OR('Department KPI Analytics'!$E$8="All", E68='Department KPI Analytics'!$E$8)), 16, 0)</f>
        <v/>
      </c>
      <c r="G68">
        <f>SUMIFS(Raw_Attendance_Data!$S$2:$S$3, Raw_Attendance_Data!$B$2:$B$3, B68, Raw_Attendance_Data!$A$2:$A$3, 1)</f>
        <v/>
      </c>
      <c r="H68">
        <f>MAX(F68-G68, 0)</f>
        <v/>
      </c>
      <c r="I68">
        <f>IF(F68&gt;0, G68/F68, 0)</f>
        <v/>
      </c>
      <c r="J68">
        <f>COUNTIFS(Raw_Attendance_Data!$B$2:$B$3, B68, Raw_Attendance_Data!$A$2:$A$3, 1, Raw_Attendance_Data!$Q$2:$Q$3, 1)</f>
        <v/>
      </c>
      <c r="K68">
        <f>COUNTIFS(Raw_Attendance_Data!$B$2:$B$3, B68, Raw_Attendance_Data!$A$2:$A$3, 1)</f>
        <v/>
      </c>
      <c r="L68">
        <f>IF(K68&gt;0, J68/K68, 1.0)</f>
        <v/>
      </c>
    </row>
    <row r="69">
      <c r="A69" t="n">
        <v>64</v>
      </c>
      <c r="B69" t="inlineStr">
        <is>
          <t>72</t>
        </is>
      </c>
      <c r="C69" t="inlineStr">
        <is>
          <t>Karthika Saran Kandaruban</t>
        </is>
      </c>
      <c r="D69" t="inlineStr">
        <is>
          <t>RFQ</t>
        </is>
      </c>
      <c r="E69" t="inlineStr">
        <is>
          <t>R Rathina Kumar</t>
        </is>
      </c>
      <c r="F69">
        <f>IF(AND(OR('Department KPI Analytics'!$G$6="All", D69='Department KPI Analytics'!$G$6), OR('Department KPI Analytics'!$E$8="All", E69='Department KPI Analytics'!$E$8)), 16, 0)</f>
        <v/>
      </c>
      <c r="G69">
        <f>SUMIFS(Raw_Attendance_Data!$S$2:$S$3, Raw_Attendance_Data!$B$2:$B$3, B69, Raw_Attendance_Data!$A$2:$A$3, 1)</f>
        <v/>
      </c>
      <c r="H69">
        <f>MAX(F69-G69, 0)</f>
        <v/>
      </c>
      <c r="I69">
        <f>IF(F69&gt;0, G69/F69, 0)</f>
        <v/>
      </c>
      <c r="J69">
        <f>COUNTIFS(Raw_Attendance_Data!$B$2:$B$3, B69, Raw_Attendance_Data!$A$2:$A$3, 1, Raw_Attendance_Data!$Q$2:$Q$3, 1)</f>
        <v/>
      </c>
      <c r="K69">
        <f>COUNTIFS(Raw_Attendance_Data!$B$2:$B$3, B69, Raw_Attendance_Data!$A$2:$A$3, 1)</f>
        <v/>
      </c>
      <c r="L69">
        <f>IF(K69&gt;0, J69/K69, 1.0)</f>
        <v/>
      </c>
    </row>
    <row r="70">
      <c r="A70" t="n">
        <v>65</v>
      </c>
      <c r="B70" t="inlineStr">
        <is>
          <t>73</t>
        </is>
      </c>
      <c r="C70" t="inlineStr">
        <is>
          <t>P Nalini</t>
        </is>
      </c>
      <c r="D70" t="inlineStr">
        <is>
          <t>HR</t>
        </is>
      </c>
      <c r="E70" t="inlineStr">
        <is>
          <t>Manasa R</t>
        </is>
      </c>
      <c r="F70">
        <f>IF(AND(OR('Department KPI Analytics'!$G$6="All", D70='Department KPI Analytics'!$G$6), OR('Department KPI Analytics'!$E$8="All", E70='Department KPI Analytics'!$E$8)), 16, 0)</f>
        <v/>
      </c>
      <c r="G70">
        <f>SUMIFS(Raw_Attendance_Data!$S$2:$S$3, Raw_Attendance_Data!$B$2:$B$3, B70, Raw_Attendance_Data!$A$2:$A$3, 1)</f>
        <v/>
      </c>
      <c r="H70">
        <f>MAX(F70-G70, 0)</f>
        <v/>
      </c>
      <c r="I70">
        <f>IF(F70&gt;0, G70/F70, 0)</f>
        <v/>
      </c>
      <c r="J70">
        <f>COUNTIFS(Raw_Attendance_Data!$B$2:$B$3, B70, Raw_Attendance_Data!$A$2:$A$3, 1, Raw_Attendance_Data!$Q$2:$Q$3, 1)</f>
        <v/>
      </c>
      <c r="K70">
        <f>COUNTIFS(Raw_Attendance_Data!$B$2:$B$3, B70, Raw_Attendance_Data!$A$2:$A$3, 1)</f>
        <v/>
      </c>
      <c r="L70">
        <f>IF(K70&gt;0, J70/K70, 1.0)</f>
        <v/>
      </c>
    </row>
    <row r="71">
      <c r="A71" t="n">
        <v>66</v>
      </c>
      <c r="B71" t="inlineStr">
        <is>
          <t>74</t>
        </is>
      </c>
      <c r="C71" t="inlineStr">
        <is>
          <t>Manasa R</t>
        </is>
      </c>
      <c r="D71" t="inlineStr">
        <is>
          <t>HR</t>
        </is>
      </c>
      <c r="E71" t="inlineStr">
        <is>
          <t>Prakash Padukhone Muthiah</t>
        </is>
      </c>
      <c r="F71">
        <f>IF(AND(OR('Department KPI Analytics'!$G$6="All", D71='Department KPI Analytics'!$G$6), OR('Department KPI Analytics'!$E$8="All", E71='Department KPI Analytics'!$E$8)), 16, 0)</f>
        <v/>
      </c>
      <c r="G71">
        <f>SUMIFS(Raw_Attendance_Data!$S$2:$S$3, Raw_Attendance_Data!$B$2:$B$3, B71, Raw_Attendance_Data!$A$2:$A$3, 1)</f>
        <v/>
      </c>
      <c r="H71">
        <f>MAX(F71-G71, 0)</f>
        <v/>
      </c>
      <c r="I71">
        <f>IF(F71&gt;0, G71/F71, 0)</f>
        <v/>
      </c>
      <c r="J71">
        <f>COUNTIFS(Raw_Attendance_Data!$B$2:$B$3, B71, Raw_Attendance_Data!$A$2:$A$3, 1, Raw_Attendance_Data!$Q$2:$Q$3, 1)</f>
        <v/>
      </c>
      <c r="K71">
        <f>COUNTIFS(Raw_Attendance_Data!$B$2:$B$3, B71, Raw_Attendance_Data!$A$2:$A$3, 1)</f>
        <v/>
      </c>
      <c r="L71">
        <f>IF(K71&gt;0, J71/K71, 1.0)</f>
        <v/>
      </c>
    </row>
    <row r="72">
      <c r="A72" t="n">
        <v>67</v>
      </c>
      <c r="B72" t="inlineStr">
        <is>
          <t>75</t>
        </is>
      </c>
      <c r="C72" t="inlineStr">
        <is>
          <t>Samir Vekariya</t>
        </is>
      </c>
      <c r="D72" t="inlineStr">
        <is>
          <t>NPD</t>
        </is>
      </c>
      <c r="E72" t="inlineStr">
        <is>
          <t>R Rathina Kumar</t>
        </is>
      </c>
      <c r="F72">
        <f>IF(AND(OR('Department KPI Analytics'!$G$6="All", D72='Department KPI Analytics'!$G$6), OR('Department KPI Analytics'!$E$8="All", E72='Department KPI Analytics'!$E$8)), 16, 0)</f>
        <v/>
      </c>
      <c r="G72">
        <f>SUMIFS(Raw_Attendance_Data!$S$2:$S$3, Raw_Attendance_Data!$B$2:$B$3, B72, Raw_Attendance_Data!$A$2:$A$3, 1)</f>
        <v/>
      </c>
      <c r="H72">
        <f>MAX(F72-G72, 0)</f>
        <v/>
      </c>
      <c r="I72">
        <f>IF(F72&gt;0, G72/F72, 0)</f>
        <v/>
      </c>
      <c r="J72">
        <f>COUNTIFS(Raw_Attendance_Data!$B$2:$B$3, B72, Raw_Attendance_Data!$A$2:$A$3, 1, Raw_Attendance_Data!$Q$2:$Q$3, 1)</f>
        <v/>
      </c>
      <c r="K72">
        <f>COUNTIFS(Raw_Attendance_Data!$B$2:$B$3, B72, Raw_Attendance_Data!$A$2:$A$3, 1)</f>
        <v/>
      </c>
      <c r="L72">
        <f>IF(K72&gt;0, J72/K72, 1.0)</f>
        <v/>
      </c>
    </row>
    <row r="73">
      <c r="A73" t="n">
        <v>68</v>
      </c>
      <c r="B73" t="inlineStr">
        <is>
          <t>76</t>
        </is>
      </c>
      <c r="C73" t="inlineStr">
        <is>
          <t>R Rathina Kumar</t>
        </is>
      </c>
      <c r="D73" t="inlineStr">
        <is>
          <t>NPD</t>
        </is>
      </c>
      <c r="E73" t="inlineStr">
        <is>
          <t>Ketan BC</t>
        </is>
      </c>
      <c r="F73">
        <f>IF(AND(OR('Department KPI Analytics'!$G$6="All", D73='Department KPI Analytics'!$G$6), OR('Department KPI Analytics'!$E$8="All", E73='Department KPI Analytics'!$E$8)), 16, 0)</f>
        <v/>
      </c>
      <c r="G73">
        <f>SUMIFS(Raw_Attendance_Data!$S$2:$S$3, Raw_Attendance_Data!$B$2:$B$3, B73, Raw_Attendance_Data!$A$2:$A$3, 1)</f>
        <v/>
      </c>
      <c r="H73">
        <f>MAX(F73-G73, 0)</f>
        <v/>
      </c>
      <c r="I73">
        <f>IF(F73&gt;0, G73/F73, 0)</f>
        <v/>
      </c>
      <c r="J73">
        <f>COUNTIFS(Raw_Attendance_Data!$B$2:$B$3, B73, Raw_Attendance_Data!$A$2:$A$3, 1, Raw_Attendance_Data!$Q$2:$Q$3, 1)</f>
        <v/>
      </c>
      <c r="K73">
        <f>COUNTIFS(Raw_Attendance_Data!$B$2:$B$3, B73, Raw_Attendance_Data!$A$2:$A$3, 1)</f>
        <v/>
      </c>
      <c r="L73">
        <f>IF(K73&gt;0, J73/K73, 1.0)</f>
        <v/>
      </c>
    </row>
    <row r="74">
      <c r="A74" t="n">
        <v>69</v>
      </c>
      <c r="B74" t="inlineStr">
        <is>
          <t>78</t>
        </is>
      </c>
      <c r="C74" t="inlineStr">
        <is>
          <t>Mohan J</t>
        </is>
      </c>
      <c r="D74" t="inlineStr">
        <is>
          <t>QA</t>
        </is>
      </c>
      <c r="E74" t="inlineStr">
        <is>
          <t>Srinivasan Beeman</t>
        </is>
      </c>
      <c r="F74">
        <f>IF(AND(OR('Department KPI Analytics'!$G$6="All", D74='Department KPI Analytics'!$G$6), OR('Department KPI Analytics'!$E$8="All", E74='Department KPI Analytics'!$E$8)), 16, 0)</f>
        <v/>
      </c>
      <c r="G74">
        <f>SUMIFS(Raw_Attendance_Data!$S$2:$S$3, Raw_Attendance_Data!$B$2:$B$3, B74, Raw_Attendance_Data!$A$2:$A$3, 1)</f>
        <v/>
      </c>
      <c r="H74">
        <f>MAX(F74-G74, 0)</f>
        <v/>
      </c>
      <c r="I74">
        <f>IF(F74&gt;0, G74/F74, 0)</f>
        <v/>
      </c>
      <c r="J74">
        <f>COUNTIFS(Raw_Attendance_Data!$B$2:$B$3, B74, Raw_Attendance_Data!$A$2:$A$3, 1, Raw_Attendance_Data!$Q$2:$Q$3, 1)</f>
        <v/>
      </c>
      <c r="K74">
        <f>COUNTIFS(Raw_Attendance_Data!$B$2:$B$3, B74, Raw_Attendance_Data!$A$2:$A$3, 1)</f>
        <v/>
      </c>
      <c r="L74">
        <f>IF(K74&gt;0, J74/K74, 1.0)</f>
        <v/>
      </c>
    </row>
    <row r="75">
      <c r="A75" t="n">
        <v>70</v>
      </c>
      <c r="B75" t="inlineStr">
        <is>
          <t>80</t>
        </is>
      </c>
      <c r="C75" t="inlineStr">
        <is>
          <t>Elangovan prem</t>
        </is>
      </c>
      <c r="D75" t="inlineStr">
        <is>
          <t>Stores</t>
        </is>
      </c>
      <c r="E75" t="inlineStr">
        <is>
          <t>Swetha Swetha</t>
        </is>
      </c>
      <c r="F75">
        <f>IF(AND(OR('Department KPI Analytics'!$G$6="All", D75='Department KPI Analytics'!$G$6), OR('Department KPI Analytics'!$E$8="All", E75='Department KPI Analytics'!$E$8)), 16, 0)</f>
        <v/>
      </c>
      <c r="G75">
        <f>SUMIFS(Raw_Attendance_Data!$S$2:$S$3, Raw_Attendance_Data!$B$2:$B$3, B75, Raw_Attendance_Data!$A$2:$A$3, 1)</f>
        <v/>
      </c>
      <c r="H75">
        <f>MAX(F75-G75, 0)</f>
        <v/>
      </c>
      <c r="I75">
        <f>IF(F75&gt;0, G75/F75, 0)</f>
        <v/>
      </c>
      <c r="J75">
        <f>COUNTIFS(Raw_Attendance_Data!$B$2:$B$3, B75, Raw_Attendance_Data!$A$2:$A$3, 1, Raw_Attendance_Data!$Q$2:$Q$3, 1)</f>
        <v/>
      </c>
      <c r="K75">
        <f>COUNTIFS(Raw_Attendance_Data!$B$2:$B$3, B75, Raw_Attendance_Data!$A$2:$A$3, 1)</f>
        <v/>
      </c>
      <c r="L75">
        <f>IF(K75&gt;0, J75/K75, 1.0)</f>
        <v/>
      </c>
    </row>
    <row r="76">
      <c r="A76" t="n">
        <v>71</v>
      </c>
      <c r="B76" t="inlineStr">
        <is>
          <t>81</t>
        </is>
      </c>
      <c r="C76" t="inlineStr">
        <is>
          <t>Balakumar N</t>
        </is>
      </c>
      <c r="D76" t="inlineStr">
        <is>
          <t>Casting</t>
        </is>
      </c>
      <c r="E76" t="inlineStr">
        <is>
          <t>R Rathina Kumar</t>
        </is>
      </c>
      <c r="F76">
        <f>IF(AND(OR('Department KPI Analytics'!$G$6="All", D76='Department KPI Analytics'!$G$6), OR('Department KPI Analytics'!$E$8="All", E76='Department KPI Analytics'!$E$8)), 16, 0)</f>
        <v/>
      </c>
      <c r="G76">
        <f>SUMIFS(Raw_Attendance_Data!$S$2:$S$3, Raw_Attendance_Data!$B$2:$B$3, B76, Raw_Attendance_Data!$A$2:$A$3, 1)</f>
        <v/>
      </c>
      <c r="H76">
        <f>MAX(F76-G76, 0)</f>
        <v/>
      </c>
      <c r="I76">
        <f>IF(F76&gt;0, G76/F76, 0)</f>
        <v/>
      </c>
      <c r="J76">
        <f>COUNTIFS(Raw_Attendance_Data!$B$2:$B$3, B76, Raw_Attendance_Data!$A$2:$A$3, 1, Raw_Attendance_Data!$Q$2:$Q$3, 1)</f>
        <v/>
      </c>
      <c r="K76">
        <f>COUNTIFS(Raw_Attendance_Data!$B$2:$B$3, B76, Raw_Attendance_Data!$A$2:$A$3, 1)</f>
        <v/>
      </c>
      <c r="L76">
        <f>IF(K76&gt;0, J76/K76, 1.0)</f>
        <v/>
      </c>
    </row>
    <row r="77">
      <c r="A77" t="n">
        <v>72</v>
      </c>
      <c r="B77" t="inlineStr">
        <is>
          <t>82</t>
        </is>
      </c>
      <c r="C77" t="inlineStr">
        <is>
          <t>Sathishkumar Narayanappa</t>
        </is>
      </c>
      <c r="D77" t="inlineStr">
        <is>
          <t>Commercial</t>
        </is>
      </c>
      <c r="E77" t="inlineStr">
        <is>
          <t>Rajeshwari Ganeshkumar</t>
        </is>
      </c>
      <c r="F77">
        <f>IF(AND(OR('Department KPI Analytics'!$G$6="All", D77='Department KPI Analytics'!$G$6), OR('Department KPI Analytics'!$E$8="All", E77='Department KPI Analytics'!$E$8)), 16, 0)</f>
        <v/>
      </c>
      <c r="G77">
        <f>SUMIFS(Raw_Attendance_Data!$S$2:$S$3, Raw_Attendance_Data!$B$2:$B$3, B77, Raw_Attendance_Data!$A$2:$A$3, 1)</f>
        <v/>
      </c>
      <c r="H77">
        <f>MAX(F77-G77, 0)</f>
        <v/>
      </c>
      <c r="I77">
        <f>IF(F77&gt;0, G77/F77, 0)</f>
        <v/>
      </c>
      <c r="J77">
        <f>COUNTIFS(Raw_Attendance_Data!$B$2:$B$3, B77, Raw_Attendance_Data!$A$2:$A$3, 1, Raw_Attendance_Data!$Q$2:$Q$3, 1)</f>
        <v/>
      </c>
      <c r="K77">
        <f>COUNTIFS(Raw_Attendance_Data!$B$2:$B$3, B77, Raw_Attendance_Data!$A$2:$A$3, 1)</f>
        <v/>
      </c>
      <c r="L77">
        <f>IF(K77&gt;0, J77/K77, 1.0)</f>
        <v/>
      </c>
    </row>
    <row r="78">
      <c r="A78" t="n">
        <v>73</v>
      </c>
      <c r="B78" t="inlineStr">
        <is>
          <t>83</t>
        </is>
      </c>
      <c r="C78" t="inlineStr">
        <is>
          <t>Venkataramanan Dharmaraj</t>
        </is>
      </c>
      <c r="D78" t="inlineStr">
        <is>
          <t>Sourcing</t>
        </is>
      </c>
      <c r="E78" t="inlineStr">
        <is>
          <t>Anil Kumar Joshi</t>
        </is>
      </c>
      <c r="F78">
        <f>IF(AND(OR('Department KPI Analytics'!$G$6="All", D78='Department KPI Analytics'!$G$6), OR('Department KPI Analytics'!$E$8="All", E78='Department KPI Analytics'!$E$8)), 16, 0)</f>
        <v/>
      </c>
      <c r="G78">
        <f>SUMIFS(Raw_Attendance_Data!$S$2:$S$3, Raw_Attendance_Data!$B$2:$B$3, B78, Raw_Attendance_Data!$A$2:$A$3, 1)</f>
        <v/>
      </c>
      <c r="H78">
        <f>MAX(F78-G78, 0)</f>
        <v/>
      </c>
      <c r="I78">
        <f>IF(F78&gt;0, G78/F78, 0)</f>
        <v/>
      </c>
      <c r="J78">
        <f>COUNTIFS(Raw_Attendance_Data!$B$2:$B$3, B78, Raw_Attendance_Data!$A$2:$A$3, 1, Raw_Attendance_Data!$Q$2:$Q$3, 1)</f>
        <v/>
      </c>
      <c r="K78">
        <f>COUNTIFS(Raw_Attendance_Data!$B$2:$B$3, B78, Raw_Attendance_Data!$A$2:$A$3, 1)</f>
        <v/>
      </c>
      <c r="L78">
        <f>IF(K78&gt;0, J78/K78, 1.0)</f>
        <v/>
      </c>
    </row>
    <row r="79">
      <c r="A79" t="n">
        <v>74</v>
      </c>
      <c r="B79" t="inlineStr">
        <is>
          <t>86</t>
        </is>
      </c>
      <c r="C79" t="inlineStr">
        <is>
          <t>Sundaravel S</t>
        </is>
      </c>
      <c r="D79" t="inlineStr">
        <is>
          <t>QA</t>
        </is>
      </c>
      <c r="E79" t="inlineStr">
        <is>
          <t>Srinivasan Beeman</t>
        </is>
      </c>
      <c r="F79">
        <f>IF(AND(OR('Department KPI Analytics'!$G$6="All", D79='Department KPI Analytics'!$G$6), OR('Department KPI Analytics'!$E$8="All", E79='Department KPI Analytics'!$E$8)), 16, 0)</f>
        <v/>
      </c>
      <c r="G79">
        <f>SUMIFS(Raw_Attendance_Data!$S$2:$S$3, Raw_Attendance_Data!$B$2:$B$3, B79, Raw_Attendance_Data!$A$2:$A$3, 1)</f>
        <v/>
      </c>
      <c r="H79">
        <f>MAX(F79-G79, 0)</f>
        <v/>
      </c>
      <c r="I79">
        <f>IF(F79&gt;0, G79/F79, 0)</f>
        <v/>
      </c>
      <c r="J79">
        <f>COUNTIFS(Raw_Attendance_Data!$B$2:$B$3, B79, Raw_Attendance_Data!$A$2:$A$3, 1, Raw_Attendance_Data!$Q$2:$Q$3, 1)</f>
        <v/>
      </c>
      <c r="K79">
        <f>COUNTIFS(Raw_Attendance_Data!$B$2:$B$3, B79, Raw_Attendance_Data!$A$2:$A$3, 1)</f>
        <v/>
      </c>
      <c r="L79">
        <f>IF(K79&gt;0, J79/K79, 1.0)</f>
        <v/>
      </c>
    </row>
    <row r="80">
      <c r="A80" t="n">
        <v>75</v>
      </c>
      <c r="B80" t="inlineStr">
        <is>
          <t>87</t>
        </is>
      </c>
      <c r="C80" t="inlineStr">
        <is>
          <t>Ankul Kumar</t>
        </is>
      </c>
      <c r="D80" t="inlineStr">
        <is>
          <t>Marketing</t>
        </is>
      </c>
      <c r="E80" t="inlineStr">
        <is>
          <t>Prakash Padukhone Muthiah</t>
        </is>
      </c>
      <c r="F80">
        <f>IF(AND(OR('Department KPI Analytics'!$G$6="All", D80='Department KPI Analytics'!$G$6), OR('Department KPI Analytics'!$E$8="All", E80='Department KPI Analytics'!$E$8)), 16, 0)</f>
        <v/>
      </c>
      <c r="G80">
        <f>SUMIFS(Raw_Attendance_Data!$S$2:$S$3, Raw_Attendance_Data!$B$2:$B$3, B80, Raw_Attendance_Data!$A$2:$A$3, 1)</f>
        <v/>
      </c>
      <c r="H80">
        <f>MAX(F80-G80, 0)</f>
        <v/>
      </c>
      <c r="I80">
        <f>IF(F80&gt;0, G80/F80, 0)</f>
        <v/>
      </c>
      <c r="J80">
        <f>COUNTIFS(Raw_Attendance_Data!$B$2:$B$3, B80, Raw_Attendance_Data!$A$2:$A$3, 1, Raw_Attendance_Data!$Q$2:$Q$3, 1)</f>
        <v/>
      </c>
      <c r="K80">
        <f>COUNTIFS(Raw_Attendance_Data!$B$2:$B$3, B80, Raw_Attendance_Data!$A$2:$A$3, 1)</f>
        <v/>
      </c>
      <c r="L80">
        <f>IF(K80&gt;0, J80/K80, 1.0)</f>
        <v/>
      </c>
    </row>
    <row r="81">
      <c r="A81" t="n">
        <v>76</v>
      </c>
      <c r="B81" t="inlineStr">
        <is>
          <t>88</t>
        </is>
      </c>
      <c r="C81" t="inlineStr">
        <is>
          <t>Devar S</t>
        </is>
      </c>
      <c r="D81" t="inlineStr">
        <is>
          <t>Sourcing</t>
        </is>
      </c>
      <c r="E81" t="inlineStr">
        <is>
          <t>Anil Kumar Joshi</t>
        </is>
      </c>
      <c r="F81">
        <f>IF(AND(OR('Department KPI Analytics'!$G$6="All", D81='Department KPI Analytics'!$G$6), OR('Department KPI Analytics'!$E$8="All", E81='Department KPI Analytics'!$E$8)), 16, 0)</f>
        <v/>
      </c>
      <c r="G81">
        <f>SUMIFS(Raw_Attendance_Data!$S$2:$S$3, Raw_Attendance_Data!$B$2:$B$3, B81, Raw_Attendance_Data!$A$2:$A$3, 1)</f>
        <v/>
      </c>
      <c r="H81">
        <f>MAX(F81-G81, 0)</f>
        <v/>
      </c>
      <c r="I81">
        <f>IF(F81&gt;0, G81/F81, 0)</f>
        <v/>
      </c>
      <c r="J81">
        <f>COUNTIFS(Raw_Attendance_Data!$B$2:$B$3, B81, Raw_Attendance_Data!$A$2:$A$3, 1, Raw_Attendance_Data!$Q$2:$Q$3, 1)</f>
        <v/>
      </c>
      <c r="K81">
        <f>COUNTIFS(Raw_Attendance_Data!$B$2:$B$3, B81, Raw_Attendance_Data!$A$2:$A$3, 1)</f>
        <v/>
      </c>
      <c r="L81">
        <f>IF(K81&gt;0, J81/K81, 1.0)</f>
        <v/>
      </c>
    </row>
    <row r="82">
      <c r="A82" t="n">
        <v>77</v>
      </c>
      <c r="B82" t="inlineStr">
        <is>
          <t>89</t>
        </is>
      </c>
      <c r="C82" t="inlineStr">
        <is>
          <t>Prabakaran Amarjothi</t>
        </is>
      </c>
      <c r="D82" t="inlineStr">
        <is>
          <t>Stores</t>
        </is>
      </c>
      <c r="E82" t="inlineStr">
        <is>
          <t>Swetha Swetha</t>
        </is>
      </c>
      <c r="F82">
        <f>IF(AND(OR('Department KPI Analytics'!$G$6="All", D82='Department KPI Analytics'!$G$6), OR('Department KPI Analytics'!$E$8="All", E82='Department KPI Analytics'!$E$8)), 16, 0)</f>
        <v/>
      </c>
      <c r="G82">
        <f>SUMIFS(Raw_Attendance_Data!$S$2:$S$3, Raw_Attendance_Data!$B$2:$B$3, B82, Raw_Attendance_Data!$A$2:$A$3, 1)</f>
        <v/>
      </c>
      <c r="H82">
        <f>MAX(F82-G82, 0)</f>
        <v/>
      </c>
      <c r="I82">
        <f>IF(F82&gt;0, G82/F82, 0)</f>
        <v/>
      </c>
      <c r="J82">
        <f>COUNTIFS(Raw_Attendance_Data!$B$2:$B$3, B82, Raw_Attendance_Data!$A$2:$A$3, 1, Raw_Attendance_Data!$Q$2:$Q$3, 1)</f>
        <v/>
      </c>
      <c r="K82">
        <f>COUNTIFS(Raw_Attendance_Data!$B$2:$B$3, B82, Raw_Attendance_Data!$A$2:$A$3, 1)</f>
        <v/>
      </c>
      <c r="L82">
        <f>IF(K82&gt;0, J82/K82, 1.0)</f>
        <v/>
      </c>
    </row>
    <row r="83">
      <c r="A83" t="n">
        <v>78</v>
      </c>
      <c r="B83" t="inlineStr">
        <is>
          <t>90</t>
        </is>
      </c>
      <c r="C83" t="inlineStr">
        <is>
          <t>Manjula Ravikumar</t>
        </is>
      </c>
      <c r="D83" t="inlineStr">
        <is>
          <t>QA</t>
        </is>
      </c>
      <c r="E83" t="inlineStr">
        <is>
          <t>Srinivasan Beeman</t>
        </is>
      </c>
      <c r="F83">
        <f>IF(AND(OR('Department KPI Analytics'!$G$6="All", D83='Department KPI Analytics'!$G$6), OR('Department KPI Analytics'!$E$8="All", E83='Department KPI Analytics'!$E$8)), 16, 0)</f>
        <v/>
      </c>
      <c r="G83">
        <f>SUMIFS(Raw_Attendance_Data!$S$2:$S$3, Raw_Attendance_Data!$B$2:$B$3, B83, Raw_Attendance_Data!$A$2:$A$3, 1)</f>
        <v/>
      </c>
      <c r="H83">
        <f>MAX(F83-G83, 0)</f>
        <v/>
      </c>
      <c r="I83">
        <f>IF(F83&gt;0, G83/F83, 0)</f>
        <v/>
      </c>
      <c r="J83">
        <f>COUNTIFS(Raw_Attendance_Data!$B$2:$B$3, B83, Raw_Attendance_Data!$A$2:$A$3, 1, Raw_Attendance_Data!$Q$2:$Q$3, 1)</f>
        <v/>
      </c>
      <c r="K83">
        <f>COUNTIFS(Raw_Attendance_Data!$B$2:$B$3, B83, Raw_Attendance_Data!$A$2:$A$3, 1)</f>
        <v/>
      </c>
      <c r="L83">
        <f>IF(K83&gt;0, J83/K83, 1.0)</f>
        <v/>
      </c>
    </row>
    <row r="84">
      <c r="A84" t="n">
        <v>79</v>
      </c>
      <c r="B84" t="inlineStr">
        <is>
          <t>93</t>
        </is>
      </c>
      <c r="C84" t="inlineStr">
        <is>
          <t>Pranav P A</t>
        </is>
      </c>
      <c r="D84" t="inlineStr">
        <is>
          <t>NPD</t>
        </is>
      </c>
      <c r="E84" t="inlineStr">
        <is>
          <t>R Rathina Kumar</t>
        </is>
      </c>
      <c r="F84">
        <f>IF(AND(OR('Department KPI Analytics'!$G$6="All", D84='Department KPI Analytics'!$G$6), OR('Department KPI Analytics'!$E$8="All", E84='Department KPI Analytics'!$E$8)), 16, 0)</f>
        <v/>
      </c>
      <c r="G84">
        <f>SUMIFS(Raw_Attendance_Data!$S$2:$S$3, Raw_Attendance_Data!$B$2:$B$3, B84, Raw_Attendance_Data!$A$2:$A$3, 1)</f>
        <v/>
      </c>
      <c r="H84">
        <f>MAX(F84-G84, 0)</f>
        <v/>
      </c>
      <c r="I84">
        <f>IF(F84&gt;0, G84/F84, 0)</f>
        <v/>
      </c>
      <c r="J84">
        <f>COUNTIFS(Raw_Attendance_Data!$B$2:$B$3, B84, Raw_Attendance_Data!$A$2:$A$3, 1, Raw_Attendance_Data!$Q$2:$Q$3, 1)</f>
        <v/>
      </c>
      <c r="K84">
        <f>COUNTIFS(Raw_Attendance_Data!$B$2:$B$3, B84, Raw_Attendance_Data!$A$2:$A$3, 1)</f>
        <v/>
      </c>
      <c r="L84">
        <f>IF(K84&gt;0, J84/K84, 1.0)</f>
        <v/>
      </c>
    </row>
    <row r="85">
      <c r="A85" t="n">
        <v>80</v>
      </c>
      <c r="B85" t="inlineStr">
        <is>
          <t>94</t>
        </is>
      </c>
      <c r="C85" t="inlineStr">
        <is>
          <t>Bhatt Shivang Bharatbhai</t>
        </is>
      </c>
      <c r="D85" t="inlineStr">
        <is>
          <t>QA</t>
        </is>
      </c>
      <c r="E85" t="inlineStr">
        <is>
          <t>Harsora Rajan Bakulbhai</t>
        </is>
      </c>
      <c r="F85">
        <f>IF(AND(OR('Department KPI Analytics'!$G$6="All", D85='Department KPI Analytics'!$G$6), OR('Department KPI Analytics'!$E$8="All", E85='Department KPI Analytics'!$E$8)), 16, 0)</f>
        <v/>
      </c>
      <c r="G85">
        <f>SUMIFS(Raw_Attendance_Data!$S$2:$S$3, Raw_Attendance_Data!$B$2:$B$3, B85, Raw_Attendance_Data!$A$2:$A$3, 1)</f>
        <v/>
      </c>
      <c r="H85">
        <f>MAX(F85-G85, 0)</f>
        <v/>
      </c>
      <c r="I85">
        <f>IF(F85&gt;0, G85/F85, 0)</f>
        <v/>
      </c>
      <c r="J85">
        <f>COUNTIFS(Raw_Attendance_Data!$B$2:$B$3, B85, Raw_Attendance_Data!$A$2:$A$3, 1, Raw_Attendance_Data!$Q$2:$Q$3, 1)</f>
        <v/>
      </c>
      <c r="K85">
        <f>COUNTIFS(Raw_Attendance_Data!$B$2:$B$3, B85, Raw_Attendance_Data!$A$2:$A$3, 1)</f>
        <v/>
      </c>
      <c r="L85">
        <f>IF(K85&gt;0, J85/K85, 1.0)</f>
        <v/>
      </c>
    </row>
    <row r="86">
      <c r="A86" t="n">
        <v>81</v>
      </c>
      <c r="B86" t="inlineStr">
        <is>
          <t>95</t>
        </is>
      </c>
      <c r="C86" t="inlineStr">
        <is>
          <t>Arunachalam Palaniappan</t>
        </is>
      </c>
      <c r="D86" t="inlineStr">
        <is>
          <t>Accounts</t>
        </is>
      </c>
      <c r="E86" t="inlineStr">
        <is>
          <t>Team Manager</t>
        </is>
      </c>
      <c r="F86">
        <f>IF(AND(OR('Department KPI Analytics'!$G$6="All", D86='Department KPI Analytics'!$G$6), OR('Department KPI Analytics'!$E$8="All", E86='Department KPI Analytics'!$E$8)), 16, 0)</f>
        <v/>
      </c>
      <c r="G86">
        <f>SUMIFS(Raw_Attendance_Data!$S$2:$S$3, Raw_Attendance_Data!$B$2:$B$3, B86, Raw_Attendance_Data!$A$2:$A$3, 1)</f>
        <v/>
      </c>
      <c r="H86">
        <f>MAX(F86-G86, 0)</f>
        <v/>
      </c>
      <c r="I86">
        <f>IF(F86&gt;0, G86/F86, 0)</f>
        <v/>
      </c>
      <c r="J86">
        <f>COUNTIFS(Raw_Attendance_Data!$B$2:$B$3, B86, Raw_Attendance_Data!$A$2:$A$3, 1, Raw_Attendance_Data!$Q$2:$Q$3, 1)</f>
        <v/>
      </c>
      <c r="K86">
        <f>COUNTIFS(Raw_Attendance_Data!$B$2:$B$3, B86, Raw_Attendance_Data!$A$2:$A$3, 1)</f>
        <v/>
      </c>
      <c r="L86">
        <f>IF(K86&gt;0, J86/K86, 1.0)</f>
        <v/>
      </c>
    </row>
    <row r="87">
      <c r="A87" t="n">
        <v>82</v>
      </c>
      <c r="B87" t="inlineStr">
        <is>
          <t>96</t>
        </is>
      </c>
      <c r="C87" t="inlineStr">
        <is>
          <t>Umraniya Deep Ghanshyambhai</t>
        </is>
      </c>
      <c r="D87" t="inlineStr">
        <is>
          <t>QA</t>
        </is>
      </c>
      <c r="E87" t="inlineStr">
        <is>
          <t>Vinit Praful Karia</t>
        </is>
      </c>
      <c r="F87">
        <f>IF(AND(OR('Department KPI Analytics'!$G$6="All", D87='Department KPI Analytics'!$G$6), OR('Department KPI Analytics'!$E$8="All", E87='Department KPI Analytics'!$E$8)), 16, 0)</f>
        <v/>
      </c>
      <c r="G87">
        <f>SUMIFS(Raw_Attendance_Data!$S$2:$S$3, Raw_Attendance_Data!$B$2:$B$3, B87, Raw_Attendance_Data!$A$2:$A$3, 1)</f>
        <v/>
      </c>
      <c r="H87">
        <f>MAX(F87-G87, 0)</f>
        <v/>
      </c>
      <c r="I87">
        <f>IF(F87&gt;0, G87/F87, 0)</f>
        <v/>
      </c>
      <c r="J87">
        <f>COUNTIFS(Raw_Attendance_Data!$B$2:$B$3, B87, Raw_Attendance_Data!$A$2:$A$3, 1, Raw_Attendance_Data!$Q$2:$Q$3, 1)</f>
        <v/>
      </c>
      <c r="K87">
        <f>COUNTIFS(Raw_Attendance_Data!$B$2:$B$3, B87, Raw_Attendance_Data!$A$2:$A$3, 1)</f>
        <v/>
      </c>
      <c r="L87">
        <f>IF(K87&gt;0, J87/K87, 1.0)</f>
        <v/>
      </c>
    </row>
    <row r="88">
      <c r="A88" t="n">
        <v>83</v>
      </c>
      <c r="B88" t="inlineStr">
        <is>
          <t>97</t>
        </is>
      </c>
      <c r="C88" t="inlineStr">
        <is>
          <t>Pavithra Sivachandiran</t>
        </is>
      </c>
      <c r="D88" t="inlineStr">
        <is>
          <t>Purchase Castings</t>
        </is>
      </c>
      <c r="E88" t="inlineStr">
        <is>
          <t>R Rathina Kumar</t>
        </is>
      </c>
      <c r="F88">
        <f>IF(AND(OR('Department KPI Analytics'!$G$6="All", D88='Department KPI Analytics'!$G$6), OR('Department KPI Analytics'!$E$8="All", E88='Department KPI Analytics'!$E$8)), 16, 0)</f>
        <v/>
      </c>
      <c r="G88">
        <f>SUMIFS(Raw_Attendance_Data!$S$2:$S$3, Raw_Attendance_Data!$B$2:$B$3, B88, Raw_Attendance_Data!$A$2:$A$3, 1)</f>
        <v/>
      </c>
      <c r="H88">
        <f>MAX(F88-G88, 0)</f>
        <v/>
      </c>
      <c r="I88">
        <f>IF(F88&gt;0, G88/F88, 0)</f>
        <v/>
      </c>
      <c r="J88">
        <f>COUNTIFS(Raw_Attendance_Data!$B$2:$B$3, B88, Raw_Attendance_Data!$A$2:$A$3, 1, Raw_Attendance_Data!$Q$2:$Q$3, 1)</f>
        <v/>
      </c>
      <c r="K88">
        <f>COUNTIFS(Raw_Attendance_Data!$B$2:$B$3, B88, Raw_Attendance_Data!$A$2:$A$3, 1)</f>
        <v/>
      </c>
      <c r="L88">
        <f>IF(K88&gt;0, J88/K88, 1.0)</f>
        <v/>
      </c>
    </row>
    <row r="89">
      <c r="A89" t="n">
        <v>84</v>
      </c>
      <c r="B89" t="inlineStr">
        <is>
          <t>98</t>
        </is>
      </c>
      <c r="C89" t="inlineStr">
        <is>
          <t>Sakthi Kumaravel</t>
        </is>
      </c>
      <c r="D89" t="inlineStr">
        <is>
          <t>QA</t>
        </is>
      </c>
      <c r="E89" t="inlineStr">
        <is>
          <t>Srinivasan Beeman</t>
        </is>
      </c>
      <c r="F89">
        <f>IF(AND(OR('Department KPI Analytics'!$G$6="All", D89='Department KPI Analytics'!$G$6), OR('Department KPI Analytics'!$E$8="All", E89='Department KPI Analytics'!$E$8)), 16, 0)</f>
        <v/>
      </c>
      <c r="G89">
        <f>SUMIFS(Raw_Attendance_Data!$S$2:$S$3, Raw_Attendance_Data!$B$2:$B$3, B89, Raw_Attendance_Data!$A$2:$A$3, 1)</f>
        <v/>
      </c>
      <c r="H89">
        <f>MAX(F89-G89, 0)</f>
        <v/>
      </c>
      <c r="I89">
        <f>IF(F89&gt;0, G89/F89, 0)</f>
        <v/>
      </c>
      <c r="J89">
        <f>COUNTIFS(Raw_Attendance_Data!$B$2:$B$3, B89, Raw_Attendance_Data!$A$2:$A$3, 1, Raw_Attendance_Data!$Q$2:$Q$3, 1)</f>
        <v/>
      </c>
      <c r="K89">
        <f>COUNTIFS(Raw_Attendance_Data!$B$2:$B$3, B89, Raw_Attendance_Data!$A$2:$A$3, 1)</f>
        <v/>
      </c>
      <c r="L89">
        <f>IF(K89&gt;0, J89/K89, 1.0)</f>
        <v/>
      </c>
    </row>
    <row r="90">
      <c r="A90" t="n">
        <v>85</v>
      </c>
      <c r="B90" t="inlineStr">
        <is>
          <t>DUMMY-PRAKASH</t>
        </is>
      </c>
      <c r="C90" t="inlineStr">
        <is>
          <t>Prakash Padukhone Muthiah</t>
        </is>
      </c>
      <c r="D90" t="inlineStr">
        <is>
          <t>Operations</t>
        </is>
      </c>
      <c r="E90" t="inlineStr">
        <is>
          <t>Nitin R Patel</t>
        </is>
      </c>
      <c r="F90">
        <f>IF(AND(OR('Department KPI Analytics'!$G$6="All", D90='Department KPI Analytics'!$G$6), OR('Department KPI Analytics'!$E$8="All", E90='Department KPI Analytics'!$E$8)), 16, 0)</f>
        <v/>
      </c>
      <c r="G90">
        <f>SUMIFS(Raw_Attendance_Data!$S$2:$S$3, Raw_Attendance_Data!$B$2:$B$3, B90, Raw_Attendance_Data!$A$2:$A$3, 1)</f>
        <v/>
      </c>
      <c r="H90">
        <f>MAX(F90-G90, 0)</f>
        <v/>
      </c>
      <c r="I90">
        <f>IF(F90&gt;0, G90/F90, 0)</f>
        <v/>
      </c>
      <c r="J90">
        <f>COUNTIFS(Raw_Attendance_Data!$B$2:$B$3, B90, Raw_Attendance_Data!$A$2:$A$3, 1, Raw_Attendance_Data!$Q$2:$Q$3, 1)</f>
        <v/>
      </c>
      <c r="K90">
        <f>COUNTIFS(Raw_Attendance_Data!$B$2:$B$3, B90, Raw_Attendance_Data!$A$2:$A$3, 1)</f>
        <v/>
      </c>
      <c r="L90">
        <f>IF(K90&gt;0, J90/K90, 1.0)</f>
        <v/>
      </c>
    </row>
    <row r="91">
      <c r="A91" t="n">
        <v>86</v>
      </c>
      <c r="B91" t="inlineStr">
        <is>
          <t>MGR001</t>
        </is>
      </c>
      <c r="C91" t="inlineStr">
        <is>
          <t>Team Manager</t>
        </is>
      </c>
      <c r="D91" t="inlineStr">
        <is>
          <t>Management</t>
        </is>
      </c>
      <c r="E91" t="inlineStr"/>
      <c r="F91">
        <f>IF(AND(OR('Department KPI Analytics'!$G$6="All", D91='Department KPI Analytics'!$G$6), OR('Department KPI Analytics'!$E$8="All", E91='Department KPI Analytics'!$E$8)), 16, 0)</f>
        <v/>
      </c>
      <c r="G91">
        <f>SUMIFS(Raw_Attendance_Data!$S$2:$S$3, Raw_Attendance_Data!$B$2:$B$3, B91, Raw_Attendance_Data!$A$2:$A$3, 1)</f>
        <v/>
      </c>
      <c r="H91">
        <f>MAX(F91-G91, 0)</f>
        <v/>
      </c>
      <c r="I91">
        <f>IF(F91&gt;0, G91/F91, 0)</f>
        <v/>
      </c>
      <c r="J91">
        <f>COUNTIFS(Raw_Attendance_Data!$B$2:$B$3, B91, Raw_Attendance_Data!$A$2:$A$3, 1, Raw_Attendance_Data!$Q$2:$Q$3, 1)</f>
        <v/>
      </c>
      <c r="K91">
        <f>COUNTIFS(Raw_Attendance_Data!$B$2:$B$3, B91, Raw_Attendance_Data!$A$2:$A$3, 1)</f>
        <v/>
      </c>
      <c r="L91">
        <f>IF(K91&gt;0, J91/K91, 1.0)</f>
        <v/>
      </c>
    </row>
    <row r="92">
      <c r="A92" t="n">
        <v>87</v>
      </c>
      <c r="B92" t="inlineStr">
        <is>
          <t>SGS-KET</t>
        </is>
      </c>
      <c r="C92" t="inlineStr">
        <is>
          <t>Ketan BC</t>
        </is>
      </c>
      <c r="D92" t="inlineStr">
        <is>
          <t>Management</t>
        </is>
      </c>
      <c r="E92" t="inlineStr">
        <is>
          <t>Team Manager</t>
        </is>
      </c>
      <c r="F92">
        <f>IF(AND(OR('Department KPI Analytics'!$G$6="All", D92='Department KPI Analytics'!$G$6), OR('Department KPI Analytics'!$E$8="All", E92='Department KPI Analytics'!$E$8)), 16, 0)</f>
        <v/>
      </c>
      <c r="G92">
        <f>SUMIFS(Raw_Attendance_Data!$S$2:$S$3, Raw_Attendance_Data!$B$2:$B$3, B92, Raw_Attendance_Data!$A$2:$A$3, 1)</f>
        <v/>
      </c>
      <c r="H92">
        <f>MAX(F92-G92, 0)</f>
        <v/>
      </c>
      <c r="I92">
        <f>IF(F92&gt;0, G92/F92, 0)</f>
        <v/>
      </c>
      <c r="J92">
        <f>COUNTIFS(Raw_Attendance_Data!$B$2:$B$3, B92, Raw_Attendance_Data!$A$2:$A$3, 1, Raw_Attendance_Data!$Q$2:$Q$3, 1)</f>
        <v/>
      </c>
      <c r="K92">
        <f>COUNTIFS(Raw_Attendance_Data!$B$2:$B$3, B92, Raw_Attendance_Data!$A$2:$A$3, 1)</f>
        <v/>
      </c>
      <c r="L92">
        <f>IF(K92&gt;0, J92/K92, 1.0)</f>
        <v/>
      </c>
    </row>
    <row r="93">
      <c r="A93" t="n">
        <v>88</v>
      </c>
      <c r="B93" t="inlineStr">
        <is>
          <t>SGS-NIT</t>
        </is>
      </c>
      <c r="C93" t="inlineStr">
        <is>
          <t>Nitin R Patel</t>
        </is>
      </c>
      <c r="D93" t="inlineStr">
        <is>
          <t>Management</t>
        </is>
      </c>
      <c r="E93" t="inlineStr">
        <is>
          <t>Team Manager</t>
        </is>
      </c>
      <c r="F93">
        <f>IF(AND(OR('Department KPI Analytics'!$G$6="All", D93='Department KPI Analytics'!$G$6), OR('Department KPI Analytics'!$E$8="All", E93='Department KPI Analytics'!$E$8)), 16, 0)</f>
        <v/>
      </c>
      <c r="G93">
        <f>SUMIFS(Raw_Attendance_Data!$S$2:$S$3, Raw_Attendance_Data!$B$2:$B$3, B93, Raw_Attendance_Data!$A$2:$A$3, 1)</f>
        <v/>
      </c>
      <c r="H93">
        <f>MAX(F93-G93, 0)</f>
        <v/>
      </c>
      <c r="I93">
        <f>IF(F93&gt;0, G93/F93, 0)</f>
        <v/>
      </c>
      <c r="J93">
        <f>COUNTIFS(Raw_Attendance_Data!$B$2:$B$3, B93, Raw_Attendance_Data!$A$2:$A$3, 1, Raw_Attendance_Data!$Q$2:$Q$3, 1)</f>
        <v/>
      </c>
      <c r="K93">
        <f>COUNTIFS(Raw_Attendance_Data!$B$2:$B$3, B93, Raw_Attendance_Data!$A$2:$A$3, 1)</f>
        <v/>
      </c>
      <c r="L93">
        <f>IF(K93&gt;0, J93/K93, 1.0)</f>
        <v/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1" workbookViewId="0">
      <selection activeCell="A1" sqref="A1"/>
    </sheetView>
  </sheetViews>
  <sheetFormatPr baseColWidth="8" defaultRowHeight="15"/>
  <cols>
    <col width="570" customWidth="1" min="1" max="1"/>
    <col width="16" customWidth="1" min="2" max="2"/>
    <col width="16" customWidth="1" min="3" max="3"/>
    <col width="13" customWidth="1" min="4" max="4"/>
    <col width="20" customWidth="1" min="5" max="5"/>
    <col width="16" customWidth="1" min="6" max="6"/>
    <col width="17" customWidth="1" min="7" max="7"/>
    <col width="12" customWidth="1" min="8" max="8"/>
    <col width="13" customWidth="1" min="9" max="9"/>
    <col width="25" customWidth="1" min="10" max="10"/>
    <col width="20" customWidth="1" min="11" max="11"/>
    <col width="16" customWidth="1" min="12" max="12"/>
    <col width="20" customWidth="1" min="13" max="13"/>
    <col width="15" customWidth="1" min="14" max="14"/>
    <col width="12" customWidth="1" min="15" max="15"/>
    <col width="60" customWidth="1" min="16" max="16"/>
    <col width="52" customWidth="1" min="17" max="17"/>
    <col width="15" customWidth="1" min="18" max="18"/>
    <col width="30" customWidth="1" min="19" max="19"/>
  </cols>
  <sheetData>
    <row r="1">
      <c r="A1" t="inlineStr">
        <is>
          <t>Matches_Filter</t>
        </is>
      </c>
      <c r="B1" t="inlineStr">
        <is>
          <t>Employee Code</t>
        </is>
      </c>
      <c r="C1" t="inlineStr">
        <is>
          <t>Employee Name</t>
        </is>
      </c>
      <c r="D1" t="inlineStr">
        <is>
          <t>Department</t>
        </is>
      </c>
      <c r="E1" t="inlineStr">
        <is>
          <t>Manager</t>
        </is>
      </c>
      <c r="F1" t="inlineStr">
        <is>
          <t>Training Date</t>
        </is>
      </c>
      <c r="G1" t="inlineStr">
        <is>
          <t>Financial Year</t>
        </is>
      </c>
      <c r="H1" t="inlineStr">
        <is>
          <t>Quarter</t>
        </is>
      </c>
      <c r="I1" t="inlineStr">
        <is>
          <t>Month Name</t>
        </is>
      </c>
      <c r="J1" t="inlineStr">
        <is>
          <t>Training Title</t>
        </is>
      </c>
      <c r="K1" t="inlineStr">
        <is>
          <t>Training Category</t>
        </is>
      </c>
      <c r="L1" t="inlineStr">
        <is>
          <t>Training Type</t>
        </is>
      </c>
      <c r="M1" t="inlineStr">
        <is>
          <t>Attendance Status</t>
        </is>
      </c>
      <c r="N1" t="inlineStr">
        <is>
          <t>Actual Hours</t>
        </is>
      </c>
      <c r="O1" t="inlineStr">
        <is>
          <t>Max Hours</t>
        </is>
      </c>
      <c r="P1" t="inlineStr">
        <is>
          <t>Is_Unique_Training</t>
        </is>
      </c>
      <c r="Q1" t="inlineStr">
        <is>
          <t>Is_Attended_Present</t>
        </is>
      </c>
      <c r="R1" t="inlineStr">
        <is>
          <t>Is_Completed</t>
        </is>
      </c>
      <c r="S1" t="inlineStr">
        <is>
          <t>Actual Hours Credit</t>
        </is>
      </c>
    </row>
    <row r="2">
      <c r="A2">
        <f>IF(AND(OR('Department KPI Analytics'!$B$6="All", G2='Department KPI Analytics'!$B$6), OR('Department KPI Analytics'!$D$6="All", H2='Department KPI Analytics'!$D$6), OR('Department KPI Analytics'!$E$6="All", I2='Department KPI Analytics'!$E$6), OR('Department KPI Analytics'!$G$6="All", D2='Department KPI Analytics'!$G$6), OR('Department KPI Analytics'!$B$8="All", K2='Department KPI Analytics'!$B$8), OR('Department KPI Analytics'!$E$8="All", E2='Department KPI Analytics'!$E$8), OR('Department KPI Analytics'!$H$8="All", L2='Department KPI Analytics'!$H$8)), 1, 0)</f>
        <v/>
      </c>
      <c r="B2" t="inlineStr">
        <is>
          <t>100</t>
        </is>
      </c>
      <c r="C2" t="inlineStr">
        <is>
          <t>Nagaraju K</t>
        </is>
      </c>
      <c r="D2" t="inlineStr">
        <is>
          <t>QA</t>
        </is>
      </c>
      <c r="E2" t="inlineStr">
        <is>
          <t>Srinivasan Beeman</t>
        </is>
      </c>
      <c r="F2" t="inlineStr">
        <is>
          <t>2026-06-03</t>
        </is>
      </c>
      <c r="G2" t="inlineStr">
        <is>
          <t>2026-2027</t>
        </is>
      </c>
      <c r="H2" t="inlineStr">
        <is>
          <t>Q1</t>
        </is>
      </c>
      <c r="I2" t="inlineStr">
        <is>
          <t>June</t>
        </is>
      </c>
      <c r="J2" t="inlineStr">
        <is>
          <t>Communication</t>
        </is>
      </c>
      <c r="K2" t="inlineStr">
        <is>
          <t>Soft Skills</t>
        </is>
      </c>
      <c r="L2" t="inlineStr">
        <is>
          <t>INTERNAL</t>
        </is>
      </c>
      <c r="M2" t="inlineStr">
        <is>
          <t>PRESENT</t>
        </is>
      </c>
      <c r="N2" t="n">
        <v>0.5</v>
      </c>
      <c r="O2" t="n">
        <v>0.5</v>
      </c>
      <c r="P2">
        <f>IF(AND(A2=1, COUNTIFS($J$2:J2, J2, $A$2:A2, 1)=1), 1, 0)</f>
        <v/>
      </c>
      <c r="Q2">
        <f>IF(AND(A2=1, OR(M2="PRESENT", M2="LATE")), 1, 0)</f>
        <v/>
      </c>
      <c r="R2" t="n">
        <v>1</v>
      </c>
      <c r="S2">
        <f>IF(AND(Q2=1, R2=1), N2, 0)</f>
        <v/>
      </c>
    </row>
    <row r="3">
      <c r="A3">
        <f>IF(AND(OR('Department KPI Analytics'!$B$6="All", G3='Department KPI Analytics'!$B$6), OR('Department KPI Analytics'!$D$6="All", H3='Department KPI Analytics'!$D$6), OR('Department KPI Analytics'!$E$6="All", I3='Department KPI Analytics'!$E$6), OR('Department KPI Analytics'!$G$6="All", D3='Department KPI Analytics'!$G$6), OR('Department KPI Analytics'!$B$8="All", K3='Department KPI Analytics'!$B$8), OR('Department KPI Analytics'!$E$8="All", E3='Department KPI Analytics'!$E$8), OR('Department KPI Analytics'!$H$8="All", L3='Department KPI Analytics'!$H$8)), 1, 0)</f>
        <v/>
      </c>
      <c r="B3" t="inlineStr">
        <is>
          <t>100</t>
        </is>
      </c>
      <c r="C3" t="inlineStr">
        <is>
          <t>Nagaraju K</t>
        </is>
      </c>
      <c r="D3" t="inlineStr">
        <is>
          <t>QA</t>
        </is>
      </c>
      <c r="E3" t="inlineStr">
        <is>
          <t>Srinivasan Beeman</t>
        </is>
      </c>
      <c r="F3" t="inlineStr">
        <is>
          <t>2026-06-13</t>
        </is>
      </c>
      <c r="G3" t="inlineStr">
        <is>
          <t>2026-2027</t>
        </is>
      </c>
      <c r="H3" t="inlineStr">
        <is>
          <t>Q1</t>
        </is>
      </c>
      <c r="I3" t="inlineStr">
        <is>
          <t>June</t>
        </is>
      </c>
      <c r="J3" t="inlineStr">
        <is>
          <t>Communication Training</t>
        </is>
      </c>
      <c r="K3" t="inlineStr">
        <is>
          <t>HR &amp; People</t>
        </is>
      </c>
      <c r="L3" t="inlineStr">
        <is>
          <t>INTERNAL</t>
        </is>
      </c>
      <c r="M3" t="inlineStr">
        <is>
          <t>PRESENT</t>
        </is>
      </c>
      <c r="N3" t="n">
        <v>0.5</v>
      </c>
      <c r="O3" t="n">
        <v>0.5</v>
      </c>
      <c r="P3">
        <f>IF(AND(A3=1, COUNTIFS($J$2:J3, J3, $A$2:A3, 1)=1), 1, 0)</f>
        <v/>
      </c>
      <c r="Q3">
        <f>IF(AND(A3=1, OR(M3="PRESENT", M3="LATE")), 1, 0)</f>
        <v/>
      </c>
      <c r="R3" t="n">
        <v>1</v>
      </c>
      <c r="S3">
        <f>IF(AND(Q3=1, R3=1), N3, 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Years</t>
        </is>
      </c>
      <c r="B1" t="inlineStr">
        <is>
          <t>Quarters</t>
        </is>
      </c>
      <c r="C1" t="inlineStr">
        <is>
          <t>Months</t>
        </is>
      </c>
      <c r="D1" t="inlineStr">
        <is>
          <t>Departments</t>
        </is>
      </c>
      <c r="E1" t="inlineStr">
        <is>
          <t>Categories</t>
        </is>
      </c>
      <c r="F1" t="inlineStr">
        <is>
          <t>Managers</t>
        </is>
      </c>
      <c r="G1" t="inlineStr">
        <is>
          <t>Training Types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  <c r="G2" t="inlineStr">
        <is>
          <t>All</t>
        </is>
      </c>
    </row>
    <row r="3">
      <c r="A3" t="inlineStr">
        <is>
          <t>2026-2027</t>
        </is>
      </c>
      <c r="B3" t="inlineStr">
        <is>
          <t>Q1</t>
        </is>
      </c>
      <c r="C3" t="inlineStr">
        <is>
          <t>April</t>
        </is>
      </c>
      <c r="D3" t="inlineStr">
        <is>
          <t>Accounts</t>
        </is>
      </c>
      <c r="E3" t="inlineStr">
        <is>
          <t>Compliance &amp; Safety</t>
        </is>
      </c>
      <c r="F3" t="inlineStr">
        <is>
          <t>Anil Kumar Joshi</t>
        </is>
      </c>
      <c r="G3" t="inlineStr">
        <is>
          <t>INTERNAL</t>
        </is>
      </c>
    </row>
    <row r="4">
      <c r="B4" t="inlineStr">
        <is>
          <t>Q2</t>
        </is>
      </c>
      <c r="C4" t="inlineStr">
        <is>
          <t>May</t>
        </is>
      </c>
      <c r="D4" t="inlineStr">
        <is>
          <t>Casting</t>
        </is>
      </c>
      <c r="E4" t="inlineStr">
        <is>
          <t>Finance &amp; Accounting</t>
        </is>
      </c>
      <c r="F4" t="inlineStr">
        <is>
          <t>Arunachalam Palaniappan</t>
        </is>
      </c>
      <c r="G4" t="inlineStr">
        <is>
          <t>EXTERNAL</t>
        </is>
      </c>
    </row>
    <row r="5">
      <c r="B5" t="inlineStr">
        <is>
          <t>Q3</t>
        </is>
      </c>
      <c r="C5" t="inlineStr">
        <is>
          <t>June</t>
        </is>
      </c>
      <c r="D5" t="inlineStr">
        <is>
          <t>Commercial</t>
        </is>
      </c>
      <c r="E5" t="inlineStr">
        <is>
          <t>HR &amp; People</t>
        </is>
      </c>
      <c r="F5" t="inlineStr">
        <is>
          <t>Harsora Rajan Bakulbhai</t>
        </is>
      </c>
      <c r="G5" t="inlineStr">
        <is>
          <t>ONLINE</t>
        </is>
      </c>
    </row>
    <row r="6">
      <c r="B6" t="inlineStr">
        <is>
          <t>Q4</t>
        </is>
      </c>
      <c r="C6" t="inlineStr">
        <is>
          <t>July</t>
        </is>
      </c>
      <c r="D6" t="inlineStr">
        <is>
          <t>CRM</t>
        </is>
      </c>
      <c r="E6" t="inlineStr">
        <is>
          <t>Leadership &amp; Management</t>
        </is>
      </c>
      <c r="F6" t="inlineStr">
        <is>
          <t>Ketan BC</t>
        </is>
      </c>
      <c r="G6" t="inlineStr">
        <is>
          <t>WORKSHOP</t>
        </is>
      </c>
    </row>
    <row r="7">
      <c r="C7" t="inlineStr">
        <is>
          <t>August</t>
        </is>
      </c>
      <c r="D7" t="inlineStr">
        <is>
          <t>Driver</t>
        </is>
      </c>
      <c r="E7" t="inlineStr">
        <is>
          <t>Product &amp; Domain</t>
        </is>
      </c>
      <c r="F7" t="inlineStr">
        <is>
          <t>Manasa R</t>
        </is>
      </c>
      <c r="G7" t="inlineStr">
        <is>
          <t>CERTIFICATION</t>
        </is>
      </c>
    </row>
    <row r="8">
      <c r="C8" t="inlineStr">
        <is>
          <t>September</t>
        </is>
      </c>
      <c r="D8" t="inlineStr">
        <is>
          <t>HR</t>
        </is>
      </c>
      <c r="E8" t="inlineStr">
        <is>
          <t>Sales &amp; Customer Service</t>
        </is>
      </c>
      <c r="F8" t="inlineStr">
        <is>
          <t>Naveenkumar M</t>
        </is>
      </c>
    </row>
    <row r="9">
      <c r="C9" t="inlineStr">
        <is>
          <t>October</t>
        </is>
      </c>
      <c r="D9" t="inlineStr">
        <is>
          <t>IT Support</t>
        </is>
      </c>
      <c r="E9" t="inlineStr">
        <is>
          <t>Soft Skills</t>
        </is>
      </c>
      <c r="F9" t="inlineStr">
        <is>
          <t>Nethaji Raja</t>
        </is>
      </c>
    </row>
    <row r="10">
      <c r="C10" t="inlineStr">
        <is>
          <t>November</t>
        </is>
      </c>
      <c r="D10" t="inlineStr">
        <is>
          <t>Maintenance</t>
        </is>
      </c>
      <c r="E10" t="inlineStr">
        <is>
          <t>Technical Skills</t>
        </is>
      </c>
      <c r="F10" t="inlineStr">
        <is>
          <t>Nitin R Patel</t>
        </is>
      </c>
    </row>
    <row r="11">
      <c r="C11" t="inlineStr">
        <is>
          <t>December</t>
        </is>
      </c>
      <c r="D11" t="inlineStr">
        <is>
          <t>Management</t>
        </is>
      </c>
      <c r="F11" t="inlineStr">
        <is>
          <t>Prakash Padukhone Muthiah</t>
        </is>
      </c>
    </row>
    <row r="12">
      <c r="C12" t="inlineStr">
        <is>
          <t>January</t>
        </is>
      </c>
      <c r="D12" t="inlineStr">
        <is>
          <t>Marketing</t>
        </is>
      </c>
      <c r="F12" t="inlineStr">
        <is>
          <t>R Rathina Kumar</t>
        </is>
      </c>
    </row>
    <row r="13">
      <c r="C13" t="inlineStr">
        <is>
          <t>February</t>
        </is>
      </c>
      <c r="D13" t="inlineStr">
        <is>
          <t>NPD</t>
        </is>
      </c>
      <c r="F13" t="inlineStr">
        <is>
          <t>Rajeshwari Ganeshkumar</t>
        </is>
      </c>
    </row>
    <row r="14">
      <c r="C14" t="inlineStr">
        <is>
          <t>March</t>
        </is>
      </c>
      <c r="D14" t="inlineStr">
        <is>
          <t>Operations</t>
        </is>
      </c>
      <c r="F14" t="inlineStr">
        <is>
          <t>Sakthivel Muthu</t>
        </is>
      </c>
    </row>
    <row r="15">
      <c r="D15" t="inlineStr">
        <is>
          <t>Purchase Castings</t>
        </is>
      </c>
      <c r="F15" t="inlineStr">
        <is>
          <t>Sakthivel Muthu</t>
        </is>
      </c>
    </row>
    <row r="16">
      <c r="D16" t="inlineStr">
        <is>
          <t>QA</t>
        </is>
      </c>
      <c r="F16" t="inlineStr">
        <is>
          <t>Srinivasan Beeman</t>
        </is>
      </c>
    </row>
    <row r="17">
      <c r="D17" t="inlineStr">
        <is>
          <t>RFQ</t>
        </is>
      </c>
      <c r="F17" t="inlineStr">
        <is>
          <t>Sundaravel S</t>
        </is>
      </c>
    </row>
    <row r="18">
      <c r="D18" t="inlineStr">
        <is>
          <t>Sourcing</t>
        </is>
      </c>
      <c r="F18" t="inlineStr">
        <is>
          <t>Swetha Swetha</t>
        </is>
      </c>
    </row>
    <row r="19">
      <c r="D19" t="inlineStr">
        <is>
          <t>Stores</t>
        </is>
      </c>
      <c r="F19" t="inlineStr">
        <is>
          <t>Team Manager</t>
        </is>
      </c>
    </row>
    <row r="20">
      <c r="F20" t="inlineStr">
        <is>
          <t>Vinit Praful Karia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2026-06-13T09:01:32Z</dcterms:created>
  <dcterms:modified xmlns:dcterms="http://purl.org/dc/terms/" xmlns:xsi="http://www.w3.org/2001/XMLSchema-instance" xsi:type="dcterms:W3CDTF">2026-06-13T09:01:32Z</dcterms:modified>
</cp:coreProperties>
</file>