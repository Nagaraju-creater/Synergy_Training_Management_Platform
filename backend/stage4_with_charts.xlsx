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KPI Report" sheetId="1" state="visible" r:id="rId1"/>
    <sheet xmlns:r="http://schemas.openxmlformats.org/officeDocument/2006/relationships" name="Monthly Learning Summary" sheetId="2" state="visible" r:id="rId2"/>
    <sheet xmlns:r="http://schemas.openxmlformats.org/officeDocument/2006/relationships" name="Training Attendance Summary" sheetId="3" state="visible" r:id="rId3"/>
    <sheet xmlns:r="http://schemas.openxmlformats.org/officeDocument/2006/relationships" name="Department KPI Analytics" sheetId="4" state="visible" r:id="rId4"/>
    <sheet xmlns:r="http://schemas.openxmlformats.org/officeDocument/2006/relationships" name="Raw_Attendance_Data" sheetId="5" state="hidden" r:id="rId5"/>
    <sheet xmlns:r="http://schemas.openxmlformats.org/officeDocument/2006/relationships" name="Employee_KPI_Summary" sheetId="6" state="hidden" r:id="rId6"/>
    <sheet xmlns:r="http://schemas.openxmlformats.org/officeDocument/2006/relationships" name="Filter_Lists" sheetId="7" state="hidden" r:id="rId7"/>
  </sheets>
  <definedNames>
    <definedName name="_xlnm._FilterDatabase" localSheetId="0" hidden="1">'Employee KPI Report'!$A$5:$AV$110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2937"/>
      <sz val="10"/>
    </font>
    <font>
      <name val="Calibri"/>
      <b val="1"/>
      <color rgb="00FFFFFF"/>
      <sz val="9"/>
    </font>
    <font>
      <name val="Calibri"/>
      <color rgb="001F2937"/>
      <sz val="9"/>
    </font>
    <font>
      <name val="Calibri"/>
      <b val="1"/>
      <color rgb="001F2937"/>
      <sz val="9"/>
    </font>
    <font>
      <name val="Calibri"/>
      <b val="1"/>
      <sz val="12"/>
    </font>
    <font>
      <name val="Segoe UI"/>
      <b val="1"/>
      <color rgb="00FFFFFF"/>
      <sz val="16"/>
    </font>
    <font>
      <name val="Segoe UI"/>
      <i val="1"/>
      <color rgb="00D9EAF7"/>
      <sz val="10"/>
    </font>
    <font>
      <name val="Segoe UI"/>
      <b val="1"/>
      <color rgb="001F4E79"/>
      <sz val="10"/>
    </font>
    <font>
      <name val="Segoe UI"/>
      <b val="1"/>
      <color rgb="005A5A5A"/>
      <sz val="9"/>
    </font>
    <font>
      <name val="Segoe UI"/>
      <b val="1"/>
      <color rgb="005A5A5A"/>
      <sz val="8"/>
    </font>
    <font>
      <name val="Segoe UI"/>
      <b val="1"/>
      <color rgb="001F4E79"/>
      <sz val="13"/>
    </font>
    <font>
      <name val="Segoe UI"/>
      <b val="1"/>
      <color rgb="00FFFFFF"/>
      <sz val="11"/>
    </font>
    <font>
      <name val="Segoe UI"/>
      <b val="1"/>
      <color rgb="001F4E79"/>
      <sz val="9"/>
    </font>
    <font>
      <name val="Segoe UI"/>
      <color rgb="001F2937"/>
      <sz val="9"/>
    </font>
    <font>
      <name val="Segoe UI"/>
      <b val="1"/>
      <color rgb="00FFFFFF"/>
      <sz val="10"/>
    </font>
    <font>
      <name val="Segoe UI"/>
      <i val="1"/>
      <color rgb="001F4E79"/>
      <sz val="9.5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  <fill>
      <patternFill patternType="solid">
        <fgColor rgb="004F81BD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9ECEF"/>
      </patternFill>
    </fill>
    <fill>
      <patternFill patternType="solid">
        <fgColor rgb="00FFF2CC"/>
      </patternFill>
    </fill>
    <fill>
      <patternFill patternType="solid">
        <fgColor rgb="00F2F4F7"/>
      </patternFill>
    </fill>
    <fill>
      <patternFill patternType="solid">
        <fgColor rgb="0010B981"/>
      </patternFill>
    </fill>
    <fill>
      <patternFill patternType="solid">
        <fgColor rgb="00EF4444"/>
      </patternFill>
    </fill>
    <fill>
      <patternFill patternType="solid">
        <fgColor rgb="008B5CF6"/>
      </patternFill>
    </fill>
    <fill>
      <patternFill patternType="solid">
        <fgColor rgb="00F8F9FA"/>
      </patternFill>
    </fill>
  </fills>
  <borders count="5">
    <border>
      <left/>
      <right/>
      <top/>
      <bottom/>
      <diagonal/>
    </border>
    <border>
      <left style="thin">
        <color rgb="009EADCC"/>
      </left>
      <right style="thin">
        <color rgb="009EADCC"/>
      </right>
      <top style="thin">
        <color rgb="009EADCC"/>
      </top>
      <bottom style="thin">
        <color rgb="009EADCC"/>
      </bottom>
    </border>
    <border>
      <left style="thin">
        <color rgb="009EADCC"/>
      </left>
      <right style="thin">
        <color rgb="009EADCC"/>
      </right>
      <top style="thin">
        <color rgb="009EADCC"/>
      </top>
      <bottom style="double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left" vertical="center" wrapText="1"/>
    </xf>
    <xf numFmtId="165" fontId="5" fillId="3" borderId="1" applyAlignment="1" pivotButton="0" quotePrefix="0" xfId="0">
      <alignment horizontal="left" vertical="center" wrapText="1"/>
    </xf>
    <xf numFmtId="165" fontId="5" fillId="3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center" vertical="center" wrapText="1"/>
    </xf>
    <xf numFmtId="164" fontId="5" fillId="3" borderId="2" applyAlignment="1" pivotButton="0" quotePrefix="0" xfId="0">
      <alignment horizontal="left" vertical="center" wrapText="1"/>
    </xf>
    <xf numFmtId="165" fontId="5" fillId="3" borderId="2" applyAlignment="1" pivotButton="0" quotePrefix="0" xfId="0">
      <alignment horizontal="left" vertical="center" wrapText="1"/>
    </xf>
    <xf numFmtId="165" fontId="5" fillId="3" borderId="2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/>
    </xf>
    <xf numFmtId="0" fontId="10" fillId="7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8" borderId="3" applyAlignment="1" pivotButton="0" quotePrefix="0" xfId="0">
      <alignment horizontal="center" vertical="center"/>
    </xf>
    <xf numFmtId="0" fontId="11" fillId="9" borderId="4" applyAlignment="1" pivotButton="0" quotePrefix="0" xfId="0">
      <alignment horizontal="center" vertical="center"/>
    </xf>
    <xf numFmtId="0" fontId="0" fillId="9" borderId="4" pivotButton="0" quotePrefix="0" xfId="0"/>
    <xf numFmtId="3" fontId="12" fillId="9" borderId="4" applyAlignment="1" pivotButton="0" quotePrefix="0" xfId="0">
      <alignment horizontal="center" vertical="center"/>
    </xf>
    <xf numFmtId="164" fontId="12" fillId="9" borderId="4" applyAlignment="1" pivotButton="0" quotePrefix="0" xfId="0">
      <alignment horizontal="center" vertical="center"/>
    </xf>
    <xf numFmtId="165" fontId="12" fillId="9" borderId="4" applyAlignment="1" pivotButton="0" quotePrefix="0" xfId="0">
      <alignment horizontal="center" vertical="center"/>
    </xf>
    <xf numFmtId="0" fontId="12" fillId="9" borderId="4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3" borderId="3" applyAlignment="1" pivotButton="0" quotePrefix="0" xfId="0">
      <alignment horizontal="center" vertical="center"/>
    </xf>
    <xf numFmtId="0" fontId="15" fillId="0" borderId="3" applyAlignment="1" pivotButton="0" quotePrefix="0" xfId="0">
      <alignment horizontal="right" vertical="center"/>
    </xf>
    <xf numFmtId="0" fontId="15" fillId="0" borderId="3" applyAlignment="1" pivotButton="0" quotePrefix="0" xfId="0">
      <alignment horizontal="left" vertical="center"/>
    </xf>
    <xf numFmtId="3" fontId="15" fillId="0" borderId="3" applyAlignment="1" pivotButton="0" quotePrefix="0" xfId="0">
      <alignment horizontal="right" vertical="center"/>
    </xf>
    <xf numFmtId="164" fontId="15" fillId="0" borderId="3" applyAlignment="1" pivotButton="0" quotePrefix="0" xfId="0">
      <alignment horizontal="right" vertical="center"/>
    </xf>
    <xf numFmtId="165" fontId="15" fillId="0" borderId="3" applyAlignment="1" pivotButton="0" quotePrefix="0" xfId="0">
      <alignment horizontal="right" vertical="center"/>
    </xf>
    <xf numFmtId="0" fontId="15" fillId="0" borderId="3" applyAlignment="1" pivotButton="0" quotePrefix="0" xfId="0">
      <alignment horizontal="center" vertical="center"/>
    </xf>
    <xf numFmtId="0" fontId="14" fillId="3" borderId="2" applyAlignment="1" pivotButton="0" quotePrefix="0" xfId="0">
      <alignment horizontal="right" vertical="center"/>
    </xf>
    <xf numFmtId="0" fontId="14" fillId="3" borderId="2" applyAlignment="1" pivotButton="0" quotePrefix="0" xfId="0">
      <alignment horizontal="left" vertical="center"/>
    </xf>
    <xf numFmtId="3" fontId="14" fillId="3" borderId="2" applyAlignment="1" pivotButton="0" quotePrefix="0" xfId="0">
      <alignment horizontal="right" vertical="center"/>
    </xf>
    <xf numFmtId="164" fontId="14" fillId="3" borderId="2" applyAlignment="1" pivotButton="0" quotePrefix="0" xfId="0">
      <alignment horizontal="right" vertical="center"/>
    </xf>
    <xf numFmtId="165" fontId="14" fillId="3" borderId="2" applyAlignment="1" pivotButton="0" quotePrefix="0" xfId="0">
      <alignment horizontal="right" vertical="center"/>
    </xf>
    <xf numFmtId="0" fontId="14" fillId="3" borderId="2" applyAlignment="1" pivotButton="0" quotePrefix="0" xfId="0">
      <alignment horizontal="center" vertical="center"/>
    </xf>
    <xf numFmtId="0" fontId="16" fillId="10" borderId="0" applyAlignment="1" pivotButton="0" quotePrefix="0" xfId="0">
      <alignment horizontal="center" vertical="center"/>
    </xf>
    <xf numFmtId="0" fontId="16" fillId="11" borderId="0" applyAlignment="1" pivotButton="0" quotePrefix="0" xfId="0">
      <alignment horizontal="center" vertical="center"/>
    </xf>
    <xf numFmtId="0" fontId="10" fillId="9" borderId="3" applyAlignment="1" pivotButton="0" quotePrefix="0" xfId="0">
      <alignment horizontal="center" vertical="center"/>
    </xf>
    <xf numFmtId="0" fontId="16" fillId="12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7" fillId="13" borderId="3" applyAlignment="1" pivotButton="0" quotePrefix="0" xfId="0">
      <alignment horizontal="left" vertical="center" wrapText="1"/>
    </xf>
    <xf numFmtId="0" fontId="0" fillId="13" borderId="3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Organization Learning Contribution by Department</a:t>
            </a:r>
          </a:p>
        </rich>
      </tx>
    </title>
    <plotArea>
      <pieChart>
        <varyColors val="1"/>
        <ser>
          <idx val="0"/>
          <order val="0"/>
          <tx>
            <strRef>
              <f>'Department KPI Analytics'!E16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KPI Analytics'!$B$17:$B$33</f>
            </numRef>
          </cat>
          <val>
            <numRef>
              <f>'Department KPI Analytics'!$E$17:$E$33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 Hours vs Actual Hours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'Department KPI Analytics'!D16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KPI Analytics'!$B$17:$B$33</f>
            </numRef>
          </cat>
          <val>
            <numRef>
              <f>'Department KPI Analytics'!$D$17:$D$33</f>
            </numRef>
          </val>
        </ser>
        <ser>
          <idx val="1"/>
          <order val="1"/>
          <tx>
            <strRef>
              <f>'Department KPI Analytics'!E16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KPI Analytics'!$B$17:$B$33</f>
            </numRef>
          </cat>
          <val>
            <numRef>
              <f>'Department KPI Analytics'!$E$17:$E$33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Department Compliance %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'Department KPI Analytics'!C38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KPI Analytics'!$B$39:$B$43</f>
            </numRef>
          </cat>
          <val>
            <numRef>
              <f>'Department KPI Analytics'!$C$39:$C$43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Compliance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13</col>
      <colOff>0</colOff>
      <row>14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29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44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16" customWidth="1" min="4" max="4"/>
    <col width="28" customWidth="1" min="5" max="5"/>
    <col width="12" customWidth="1" min="6" max="6"/>
    <col width="12" customWidth="1" min="7" max="7"/>
    <col width="28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28" customWidth="1" min="14" max="14"/>
    <col width="12" customWidth="1" min="15" max="15"/>
    <col width="12" customWidth="1" min="16" max="16"/>
    <col width="28" customWidth="1" min="17" max="17"/>
    <col width="12" customWidth="1" min="18" max="18"/>
    <col width="12" customWidth="1" min="19" max="19"/>
    <col width="28" customWidth="1" min="20" max="20"/>
    <col width="12" customWidth="1" min="21" max="21"/>
    <col width="12" customWidth="1" min="22" max="22"/>
    <col width="28" customWidth="1" min="23" max="23"/>
    <col width="12" customWidth="1" min="24" max="24"/>
    <col width="12" customWidth="1" min="25" max="25"/>
    <col width="28" customWidth="1" min="26" max="26"/>
    <col width="12" customWidth="1" min="27" max="27"/>
    <col width="12" customWidth="1" min="28" max="28"/>
    <col width="28" customWidth="1" min="29" max="29"/>
    <col width="12" customWidth="1" min="30" max="30"/>
    <col width="12" customWidth="1" min="31" max="31"/>
    <col width="28" customWidth="1" min="32" max="32"/>
    <col width="12" customWidth="1" min="33" max="33"/>
    <col width="12" customWidth="1" min="34" max="34"/>
    <col width="28" customWidth="1" min="35" max="35"/>
    <col width="12" customWidth="1" min="36" max="36"/>
    <col width="12" customWidth="1" min="37" max="37"/>
    <col width="28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0" customWidth="1" min="44" max="44"/>
    <col width="20" customWidth="1" min="45" max="45"/>
    <col width="18" customWidth="1" min="46" max="46"/>
    <col width="22" customWidth="1" min="47" max="47"/>
    <col width="14" customWidth="1" min="48" max="48"/>
  </cols>
  <sheetData>
    <row r="1" ht="30" customHeight="1">
      <c r="A1" s="1" t="inlineStr">
        <is>
          <t>Department KPI Dashboard - Employee Learning KPI Report</t>
        </is>
      </c>
    </row>
    <row r="2" ht="24" customHeight="1">
      <c r="A2" s="2" t="inlineStr">
        <is>
          <t>FY: Apr 2025 - Mar 2026 | Date Range: 01-Apr-2025 to 31-Mar-2026</t>
        </is>
      </c>
    </row>
    <row r="4" ht="20" customHeight="1">
      <c r="A4" s="3" t="inlineStr">
        <is>
          <t>S.No</t>
        </is>
      </c>
      <c r="B4" s="3" t="inlineStr">
        <is>
          <t>Employee ID</t>
        </is>
      </c>
      <c r="C4" s="3" t="inlineStr">
        <is>
          <t>Employee Name</t>
        </is>
      </c>
      <c r="D4" s="3" t="inlineStr">
        <is>
          <t>Date of Joining</t>
        </is>
      </c>
      <c r="E4" s="3" t="inlineStr">
        <is>
          <t>APRIL</t>
        </is>
      </c>
      <c r="H4" s="3" t="inlineStr">
        <is>
          <t>MAY</t>
        </is>
      </c>
      <c r="K4" s="3" t="inlineStr">
        <is>
          <t>JUNE</t>
        </is>
      </c>
      <c r="N4" s="3" t="inlineStr">
        <is>
          <t>JULY</t>
        </is>
      </c>
      <c r="Q4" s="3" t="inlineStr">
        <is>
          <t>AUGUST</t>
        </is>
      </c>
      <c r="T4" s="3" t="inlineStr">
        <is>
          <t>SEPTEMBER</t>
        </is>
      </c>
      <c r="W4" s="3" t="inlineStr">
        <is>
          <t>OCTOBER</t>
        </is>
      </c>
      <c r="Z4" s="3" t="inlineStr">
        <is>
          <t>NOVEMBER</t>
        </is>
      </c>
      <c r="AC4" s="3" t="inlineStr">
        <is>
          <t>DECEMBER</t>
        </is>
      </c>
      <c r="AF4" s="3" t="inlineStr">
        <is>
          <t>JANUARY</t>
        </is>
      </c>
      <c r="AI4" s="3" t="inlineStr">
        <is>
          <t>FEBRUARY</t>
        </is>
      </c>
      <c r="AL4" s="3" t="inlineStr">
        <is>
          <t>MARCH</t>
        </is>
      </c>
      <c r="AO4" s="3" t="inlineStr">
        <is>
          <t>Total Hours</t>
        </is>
      </c>
      <c r="AP4" s="3" t="inlineStr">
        <is>
          <t>Target Hours</t>
        </is>
      </c>
      <c r="AQ4" s="3" t="inlineStr">
        <is>
          <t>Balance</t>
        </is>
      </c>
      <c r="AR4" s="3" t="inlineStr">
        <is>
          <t>KPI %</t>
        </is>
      </c>
      <c r="AS4" s="3" t="inlineStr">
        <is>
          <t>Learning Compliance</t>
        </is>
      </c>
      <c r="AT4" s="3" t="inlineStr">
        <is>
          <t>Department</t>
        </is>
      </c>
      <c r="AU4" s="3" t="inlineStr">
        <is>
          <t>Manager</t>
        </is>
      </c>
      <c r="AV4" s="3" t="inlineStr">
        <is>
          <t>Attendance %</t>
        </is>
      </c>
    </row>
    <row r="5" ht="20" customHeight="1">
      <c r="E5" s="3" t="inlineStr">
        <is>
          <t>Date</t>
        </is>
      </c>
      <c r="F5" s="3" t="inlineStr">
        <is>
          <t>Actual</t>
        </is>
      </c>
      <c r="G5" s="3" t="inlineStr">
        <is>
          <t>Max Hours</t>
        </is>
      </c>
      <c r="H5" s="3" t="inlineStr">
        <is>
          <t>Date</t>
        </is>
      </c>
      <c r="I5" s="3" t="inlineStr">
        <is>
          <t>Actual</t>
        </is>
      </c>
      <c r="J5" s="3" t="inlineStr">
        <is>
          <t>Max Hours</t>
        </is>
      </c>
      <c r="K5" s="3" t="inlineStr">
        <is>
          <t>Date</t>
        </is>
      </c>
      <c r="L5" s="3" t="inlineStr">
        <is>
          <t>Actual</t>
        </is>
      </c>
      <c r="M5" s="3" t="inlineStr">
        <is>
          <t>Max Hours</t>
        </is>
      </c>
      <c r="N5" s="3" t="inlineStr">
        <is>
          <t>Date</t>
        </is>
      </c>
      <c r="O5" s="3" t="inlineStr">
        <is>
          <t>Actual</t>
        </is>
      </c>
      <c r="P5" s="3" t="inlineStr">
        <is>
          <t>Max Hours</t>
        </is>
      </c>
      <c r="Q5" s="3" t="inlineStr">
        <is>
          <t>Date</t>
        </is>
      </c>
      <c r="R5" s="3" t="inlineStr">
        <is>
          <t>Actual</t>
        </is>
      </c>
      <c r="S5" s="3" t="inlineStr">
        <is>
          <t>Max Hours</t>
        </is>
      </c>
      <c r="T5" s="3" t="inlineStr">
        <is>
          <t>Date</t>
        </is>
      </c>
      <c r="U5" s="3" t="inlineStr">
        <is>
          <t>Actual</t>
        </is>
      </c>
      <c r="V5" s="3" t="inlineStr">
        <is>
          <t>Max Hours</t>
        </is>
      </c>
      <c r="W5" s="3" t="inlineStr">
        <is>
          <t>Date</t>
        </is>
      </c>
      <c r="X5" s="3" t="inlineStr">
        <is>
          <t>Actual</t>
        </is>
      </c>
      <c r="Y5" s="3" t="inlineStr">
        <is>
          <t>Max Hours</t>
        </is>
      </c>
      <c r="Z5" s="3" t="inlineStr">
        <is>
          <t>Date</t>
        </is>
      </c>
      <c r="AA5" s="3" t="inlineStr">
        <is>
          <t>Actual</t>
        </is>
      </c>
      <c r="AB5" s="3" t="inlineStr">
        <is>
          <t>Max Hours</t>
        </is>
      </c>
      <c r="AC5" s="3" t="inlineStr">
        <is>
          <t>Date</t>
        </is>
      </c>
      <c r="AD5" s="3" t="inlineStr">
        <is>
          <t>Actual</t>
        </is>
      </c>
      <c r="AE5" s="3" t="inlineStr">
        <is>
          <t>Max Hours</t>
        </is>
      </c>
      <c r="AF5" s="3" t="inlineStr">
        <is>
          <t>Date</t>
        </is>
      </c>
      <c r="AG5" s="3" t="inlineStr">
        <is>
          <t>Actual</t>
        </is>
      </c>
      <c r="AH5" s="3" t="inlineStr">
        <is>
          <t>Max Hours</t>
        </is>
      </c>
      <c r="AI5" s="3" t="inlineStr">
        <is>
          <t>Date</t>
        </is>
      </c>
      <c r="AJ5" s="3" t="inlineStr">
        <is>
          <t>Actual</t>
        </is>
      </c>
      <c r="AK5" s="3" t="inlineStr">
        <is>
          <t>Max Hours</t>
        </is>
      </c>
      <c r="AL5" s="3" t="inlineStr">
        <is>
          <t>Date</t>
        </is>
      </c>
      <c r="AM5" s="3" t="inlineStr">
        <is>
          <t>Actual</t>
        </is>
      </c>
      <c r="AN5" s="3" t="inlineStr">
        <is>
          <t>Max Hours</t>
        </is>
      </c>
    </row>
    <row r="6" ht="36" customHeight="1">
      <c r="A6" s="4" t="n">
        <v>1</v>
      </c>
      <c r="B6" s="4" t="inlineStr">
        <is>
          <t>011</t>
        </is>
      </c>
      <c r="C6" s="5" t="inlineStr">
        <is>
          <t>Mariyaruban Mariyakilaimans</t>
        </is>
      </c>
      <c r="D6" s="4" t="inlineStr"/>
      <c r="E6" s="5" t="inlineStr"/>
      <c r="F6" s="4" t="inlineStr"/>
      <c r="G6" s="4" t="inlineStr"/>
      <c r="H6" s="5" t="inlineStr"/>
      <c r="I6" s="4" t="inlineStr"/>
      <c r="J6" s="4" t="inlineStr"/>
      <c r="K6" s="5" t="inlineStr"/>
      <c r="L6" s="4" t="inlineStr"/>
      <c r="M6" s="4" t="inlineStr"/>
      <c r="N6" s="5" t="inlineStr"/>
      <c r="O6" s="4" t="inlineStr"/>
      <c r="P6" s="4" t="inlineStr"/>
      <c r="Q6" s="5" t="inlineStr"/>
      <c r="R6" s="4" t="inlineStr"/>
      <c r="S6" s="4" t="inlineStr"/>
      <c r="T6" s="5" t="inlineStr"/>
      <c r="U6" s="4" t="inlineStr"/>
      <c r="V6" s="4" t="inlineStr"/>
      <c r="W6" s="5" t="inlineStr"/>
      <c r="X6" s="4" t="inlineStr"/>
      <c r="Y6" s="4" t="inlineStr"/>
      <c r="Z6" s="5" t="inlineStr"/>
      <c r="AA6" s="4" t="inlineStr"/>
      <c r="AB6" s="4" t="inlineStr"/>
      <c r="AC6" s="5" t="inlineStr"/>
      <c r="AD6" s="4" t="inlineStr"/>
      <c r="AE6" s="4" t="inlineStr"/>
      <c r="AF6" s="5" t="inlineStr"/>
      <c r="AG6" s="4" t="inlineStr"/>
      <c r="AH6" s="4" t="inlineStr"/>
      <c r="AI6" s="5" t="inlineStr"/>
      <c r="AJ6" s="4" t="inlineStr"/>
      <c r="AK6" s="4" t="inlineStr"/>
      <c r="AL6" s="5" t="inlineStr"/>
      <c r="AM6" s="4" t="inlineStr"/>
      <c r="AN6" s="4" t="inlineStr"/>
      <c r="AO6" s="5" t="n">
        <v>0</v>
      </c>
      <c r="AP6" s="4" t="n">
        <v>16</v>
      </c>
      <c r="AQ6" s="4" t="inlineStr">
        <is>
          <t>16.0 Hours Remaining</t>
        </is>
      </c>
      <c r="AR6" s="6" t="inlineStr">
        <is>
          <t>0.0%</t>
        </is>
      </c>
      <c r="AS6" s="7" t="inlineStr">
        <is>
          <t>Critical</t>
        </is>
      </c>
      <c r="AT6" s="4" t="inlineStr">
        <is>
          <t>Accounts</t>
        </is>
      </c>
      <c r="AU6" s="5" t="inlineStr">
        <is>
          <t>Arunachalam Palaniappan</t>
        </is>
      </c>
      <c r="AV6" s="4" t="inlineStr">
        <is>
          <t>0.0%</t>
        </is>
      </c>
    </row>
    <row r="7" ht="36" customHeight="1">
      <c r="A7" s="4" t="n">
        <v>2</v>
      </c>
      <c r="B7" s="4" t="inlineStr">
        <is>
          <t>029</t>
        </is>
      </c>
      <c r="C7" s="5" t="inlineStr">
        <is>
          <t>Jayesh Nitin Patel</t>
        </is>
      </c>
      <c r="D7" s="4" t="inlineStr"/>
      <c r="E7" s="5" t="inlineStr"/>
      <c r="F7" s="4" t="inlineStr"/>
      <c r="G7" s="4" t="inlineStr"/>
      <c r="H7" s="5" t="inlineStr"/>
      <c r="I7" s="4" t="inlineStr"/>
      <c r="J7" s="4" t="inlineStr"/>
      <c r="K7" s="5" t="inlineStr"/>
      <c r="L7" s="4" t="inlineStr"/>
      <c r="M7" s="4" t="inlineStr"/>
      <c r="N7" s="5" t="inlineStr"/>
      <c r="O7" s="4" t="inlineStr"/>
      <c r="P7" s="4" t="inlineStr"/>
      <c r="Q7" s="5" t="inlineStr"/>
      <c r="R7" s="4" t="inlineStr"/>
      <c r="S7" s="4" t="inlineStr"/>
      <c r="T7" s="5" t="inlineStr"/>
      <c r="U7" s="4" t="inlineStr"/>
      <c r="V7" s="4" t="inlineStr"/>
      <c r="W7" s="5" t="inlineStr"/>
      <c r="X7" s="4" t="inlineStr"/>
      <c r="Y7" s="4" t="inlineStr"/>
      <c r="Z7" s="5" t="inlineStr"/>
      <c r="AA7" s="4" t="inlineStr"/>
      <c r="AB7" s="4" t="inlineStr"/>
      <c r="AC7" s="5" t="inlineStr"/>
      <c r="AD7" s="4" t="inlineStr"/>
      <c r="AE7" s="4" t="inlineStr"/>
      <c r="AF7" s="5" t="inlineStr"/>
      <c r="AG7" s="4" t="inlineStr"/>
      <c r="AH7" s="4" t="inlineStr"/>
      <c r="AI7" s="5" t="inlineStr"/>
      <c r="AJ7" s="4" t="inlineStr"/>
      <c r="AK7" s="4" t="inlineStr"/>
      <c r="AL7" s="5" t="inlineStr"/>
      <c r="AM7" s="4" t="inlineStr"/>
      <c r="AN7" s="4" t="inlineStr"/>
      <c r="AO7" s="5" t="n">
        <v>0</v>
      </c>
      <c r="AP7" s="4" t="n">
        <v>16</v>
      </c>
      <c r="AQ7" s="4" t="inlineStr">
        <is>
          <t>16.0 Hours Remaining</t>
        </is>
      </c>
      <c r="AR7" s="6" t="inlineStr">
        <is>
          <t>0.0%</t>
        </is>
      </c>
      <c r="AS7" s="7" t="inlineStr">
        <is>
          <t>Critical</t>
        </is>
      </c>
      <c r="AT7" s="4" t="inlineStr">
        <is>
          <t>Accounts</t>
        </is>
      </c>
      <c r="AU7" s="5" t="inlineStr">
        <is>
          <t>Arunachalam Palaniappan</t>
        </is>
      </c>
      <c r="AV7" s="4" t="inlineStr">
        <is>
          <t>0.0%</t>
        </is>
      </c>
    </row>
    <row r="8" ht="36" customHeight="1">
      <c r="A8" s="4" t="n">
        <v>3</v>
      </c>
      <c r="B8" s="4" t="inlineStr">
        <is>
          <t>12</t>
        </is>
      </c>
      <c r="C8" s="5" t="inlineStr">
        <is>
          <t>Nandinee Kapilesh sharma</t>
        </is>
      </c>
      <c r="D8" s="4" t="inlineStr"/>
      <c r="E8" s="5" t="inlineStr"/>
      <c r="F8" s="4" t="inlineStr"/>
      <c r="G8" s="4" t="inlineStr"/>
      <c r="H8" s="5" t="inlineStr"/>
      <c r="I8" s="4" t="inlineStr"/>
      <c r="J8" s="4" t="inlineStr"/>
      <c r="K8" s="5" t="inlineStr"/>
      <c r="L8" s="4" t="inlineStr"/>
      <c r="M8" s="4" t="inlineStr"/>
      <c r="N8" s="5" t="inlineStr"/>
      <c r="O8" s="4" t="inlineStr"/>
      <c r="P8" s="4" t="inlineStr"/>
      <c r="Q8" s="5" t="inlineStr"/>
      <c r="R8" s="4" t="inlineStr"/>
      <c r="S8" s="4" t="inlineStr"/>
      <c r="T8" s="5" t="inlineStr"/>
      <c r="U8" s="4" t="inlineStr"/>
      <c r="V8" s="4" t="inlineStr"/>
      <c r="W8" s="5" t="inlineStr"/>
      <c r="X8" s="4" t="inlineStr"/>
      <c r="Y8" s="4" t="inlineStr"/>
      <c r="Z8" s="5" t="inlineStr"/>
      <c r="AA8" s="4" t="inlineStr"/>
      <c r="AB8" s="4" t="inlineStr"/>
      <c r="AC8" s="5" t="inlineStr"/>
      <c r="AD8" s="4" t="inlineStr"/>
      <c r="AE8" s="4" t="inlineStr"/>
      <c r="AF8" s="5" t="inlineStr"/>
      <c r="AG8" s="4" t="inlineStr"/>
      <c r="AH8" s="4" t="inlineStr"/>
      <c r="AI8" s="5" t="inlineStr"/>
      <c r="AJ8" s="4" t="inlineStr"/>
      <c r="AK8" s="4" t="inlineStr"/>
      <c r="AL8" s="5" t="inlineStr"/>
      <c r="AM8" s="4" t="inlineStr"/>
      <c r="AN8" s="4" t="inlineStr"/>
      <c r="AO8" s="5" t="n">
        <v>0</v>
      </c>
      <c r="AP8" s="4" t="n">
        <v>16</v>
      </c>
      <c r="AQ8" s="4" t="inlineStr">
        <is>
          <t>16.0 Hours Remaining</t>
        </is>
      </c>
      <c r="AR8" s="6" t="inlineStr">
        <is>
          <t>0.0%</t>
        </is>
      </c>
      <c r="AS8" s="7" t="inlineStr">
        <is>
          <t>Critical</t>
        </is>
      </c>
      <c r="AT8" s="4" t="inlineStr">
        <is>
          <t>Accounts</t>
        </is>
      </c>
      <c r="AU8" s="5" t="inlineStr">
        <is>
          <t>Team Manager</t>
        </is>
      </c>
      <c r="AV8" s="4" t="inlineStr">
        <is>
          <t>0.0%</t>
        </is>
      </c>
    </row>
    <row r="9" ht="36" customHeight="1">
      <c r="A9" s="4" t="n">
        <v>4</v>
      </c>
      <c r="B9" s="4" t="inlineStr">
        <is>
          <t>20</t>
        </is>
      </c>
      <c r="C9" s="5" t="inlineStr">
        <is>
          <t>Kumaresh B</t>
        </is>
      </c>
      <c r="D9" s="4" t="inlineStr"/>
      <c r="E9" s="5" t="inlineStr"/>
      <c r="F9" s="4" t="inlineStr"/>
      <c r="G9" s="4" t="inlineStr"/>
      <c r="H9" s="5" t="inlineStr"/>
      <c r="I9" s="4" t="inlineStr"/>
      <c r="J9" s="4" t="inlineStr"/>
      <c r="K9" s="5" t="inlineStr"/>
      <c r="L9" s="4" t="inlineStr"/>
      <c r="M9" s="4" t="inlineStr"/>
      <c r="N9" s="5" t="inlineStr"/>
      <c r="O9" s="4" t="inlineStr"/>
      <c r="P9" s="4" t="inlineStr"/>
      <c r="Q9" s="5" t="inlineStr"/>
      <c r="R9" s="4" t="inlineStr"/>
      <c r="S9" s="4" t="inlineStr"/>
      <c r="T9" s="5" t="inlineStr"/>
      <c r="U9" s="4" t="inlineStr"/>
      <c r="V9" s="4" t="inlineStr"/>
      <c r="W9" s="5" t="inlineStr"/>
      <c r="X9" s="4" t="inlineStr"/>
      <c r="Y9" s="4" t="inlineStr"/>
      <c r="Z9" s="5" t="inlineStr"/>
      <c r="AA9" s="4" t="inlineStr"/>
      <c r="AB9" s="4" t="inlineStr"/>
      <c r="AC9" s="5" t="inlineStr"/>
      <c r="AD9" s="4" t="inlineStr"/>
      <c r="AE9" s="4" t="inlineStr"/>
      <c r="AF9" s="5" t="inlineStr"/>
      <c r="AG9" s="4" t="inlineStr"/>
      <c r="AH9" s="4" t="inlineStr"/>
      <c r="AI9" s="5" t="inlineStr"/>
      <c r="AJ9" s="4" t="inlineStr"/>
      <c r="AK9" s="4" t="inlineStr"/>
      <c r="AL9" s="5" t="inlineStr"/>
      <c r="AM9" s="4" t="inlineStr"/>
      <c r="AN9" s="4" t="inlineStr"/>
      <c r="AO9" s="5" t="n">
        <v>0</v>
      </c>
      <c r="AP9" s="4" t="n">
        <v>16</v>
      </c>
      <c r="AQ9" s="4" t="inlineStr">
        <is>
          <t>16.0 Hours Remaining</t>
        </is>
      </c>
      <c r="AR9" s="6" t="inlineStr">
        <is>
          <t>0.0%</t>
        </is>
      </c>
      <c r="AS9" s="7" t="inlineStr">
        <is>
          <t>Critical</t>
        </is>
      </c>
      <c r="AT9" s="4" t="inlineStr">
        <is>
          <t>Accounts</t>
        </is>
      </c>
      <c r="AU9" s="5" t="inlineStr">
        <is>
          <t>Team Manager</t>
        </is>
      </c>
      <c r="AV9" s="4" t="inlineStr">
        <is>
          <t>0.0%</t>
        </is>
      </c>
    </row>
    <row r="10" ht="36" customHeight="1">
      <c r="A10" s="4" t="n">
        <v>5</v>
      </c>
      <c r="B10" s="4" t="inlineStr">
        <is>
          <t>67</t>
        </is>
      </c>
      <c r="C10" s="5" t="inlineStr">
        <is>
          <t>Rambabu K</t>
        </is>
      </c>
      <c r="D10" s="4" t="inlineStr"/>
      <c r="E10" s="5" t="inlineStr"/>
      <c r="F10" s="4" t="inlineStr"/>
      <c r="G10" s="4" t="inlineStr"/>
      <c r="H10" s="5" t="inlineStr"/>
      <c r="I10" s="4" t="inlineStr"/>
      <c r="J10" s="4" t="inlineStr"/>
      <c r="K10" s="5" t="inlineStr"/>
      <c r="L10" s="4" t="inlineStr"/>
      <c r="M10" s="4" t="inlineStr"/>
      <c r="N10" s="5" t="inlineStr"/>
      <c r="O10" s="4" t="inlineStr"/>
      <c r="P10" s="4" t="inlineStr"/>
      <c r="Q10" s="5" t="inlineStr"/>
      <c r="R10" s="4" t="inlineStr"/>
      <c r="S10" s="4" t="inlineStr"/>
      <c r="T10" s="5" t="inlineStr"/>
      <c r="U10" s="4" t="inlineStr"/>
      <c r="V10" s="4" t="inlineStr"/>
      <c r="W10" s="5" t="inlineStr"/>
      <c r="X10" s="4" t="inlineStr"/>
      <c r="Y10" s="4" t="inlineStr"/>
      <c r="Z10" s="5" t="inlineStr"/>
      <c r="AA10" s="4" t="inlineStr"/>
      <c r="AB10" s="4" t="inlineStr"/>
      <c r="AC10" s="5" t="inlineStr"/>
      <c r="AD10" s="4" t="inlineStr"/>
      <c r="AE10" s="4" t="inlineStr"/>
      <c r="AF10" s="5" t="inlineStr"/>
      <c r="AG10" s="4" t="inlineStr"/>
      <c r="AH10" s="4" t="inlineStr"/>
      <c r="AI10" s="5" t="inlineStr"/>
      <c r="AJ10" s="4" t="inlineStr"/>
      <c r="AK10" s="4" t="inlineStr"/>
      <c r="AL10" s="5" t="inlineStr"/>
      <c r="AM10" s="4" t="inlineStr"/>
      <c r="AN10" s="4" t="inlineStr"/>
      <c r="AO10" s="5" t="n">
        <v>0</v>
      </c>
      <c r="AP10" s="4" t="n">
        <v>16</v>
      </c>
      <c r="AQ10" s="4" t="inlineStr">
        <is>
          <t>16.0 Hours Remaining</t>
        </is>
      </c>
      <c r="AR10" s="6" t="inlineStr">
        <is>
          <t>0.0%</t>
        </is>
      </c>
      <c r="AS10" s="7" t="inlineStr">
        <is>
          <t>Critical</t>
        </is>
      </c>
      <c r="AT10" s="4" t="inlineStr">
        <is>
          <t>Accounts</t>
        </is>
      </c>
      <c r="AU10" s="5" t="inlineStr">
        <is>
          <t>Arunachalam Palaniappan</t>
        </is>
      </c>
      <c r="AV10" s="4" t="inlineStr">
        <is>
          <t>0.0%</t>
        </is>
      </c>
    </row>
    <row r="11" ht="36" customHeight="1">
      <c r="A11" s="4" t="n">
        <v>6</v>
      </c>
      <c r="B11" s="4" t="inlineStr">
        <is>
          <t>68</t>
        </is>
      </c>
      <c r="C11" s="5" t="inlineStr">
        <is>
          <t>Prathap Gundapa</t>
        </is>
      </c>
      <c r="D11" s="4" t="inlineStr"/>
      <c r="E11" s="5" t="inlineStr"/>
      <c r="F11" s="4" t="inlineStr"/>
      <c r="G11" s="4" t="inlineStr"/>
      <c r="H11" s="5" t="inlineStr"/>
      <c r="I11" s="4" t="inlineStr"/>
      <c r="J11" s="4" t="inlineStr"/>
      <c r="K11" s="5" t="inlineStr"/>
      <c r="L11" s="4" t="inlineStr"/>
      <c r="M11" s="4" t="inlineStr"/>
      <c r="N11" s="5" t="inlineStr"/>
      <c r="O11" s="4" t="inlineStr"/>
      <c r="P11" s="4" t="inlineStr"/>
      <c r="Q11" s="5" t="inlineStr"/>
      <c r="R11" s="4" t="inlineStr"/>
      <c r="S11" s="4" t="inlineStr"/>
      <c r="T11" s="5" t="inlineStr"/>
      <c r="U11" s="4" t="inlineStr"/>
      <c r="V11" s="4" t="inlineStr"/>
      <c r="W11" s="5" t="inlineStr"/>
      <c r="X11" s="4" t="inlineStr"/>
      <c r="Y11" s="4" t="inlineStr"/>
      <c r="Z11" s="5" t="inlineStr"/>
      <c r="AA11" s="4" t="inlineStr"/>
      <c r="AB11" s="4" t="inlineStr"/>
      <c r="AC11" s="5" t="inlineStr"/>
      <c r="AD11" s="4" t="inlineStr"/>
      <c r="AE11" s="4" t="inlineStr"/>
      <c r="AF11" s="5" t="inlineStr"/>
      <c r="AG11" s="4" t="inlineStr"/>
      <c r="AH11" s="4" t="inlineStr"/>
      <c r="AI11" s="5" t="inlineStr"/>
      <c r="AJ11" s="4" t="inlineStr"/>
      <c r="AK11" s="4" t="inlineStr"/>
      <c r="AL11" s="5" t="inlineStr"/>
      <c r="AM11" s="4" t="inlineStr"/>
      <c r="AN11" s="4" t="inlineStr"/>
      <c r="AO11" s="5" t="n">
        <v>0</v>
      </c>
      <c r="AP11" s="4" t="n">
        <v>16</v>
      </c>
      <c r="AQ11" s="4" t="inlineStr">
        <is>
          <t>16.0 Hours Remaining</t>
        </is>
      </c>
      <c r="AR11" s="6" t="inlineStr">
        <is>
          <t>0.0%</t>
        </is>
      </c>
      <c r="AS11" s="7" t="inlineStr">
        <is>
          <t>Critical</t>
        </is>
      </c>
      <c r="AT11" s="4" t="inlineStr">
        <is>
          <t>Accounts</t>
        </is>
      </c>
      <c r="AU11" s="5" t="inlineStr">
        <is>
          <t>Arunachalam Palaniappan</t>
        </is>
      </c>
      <c r="AV11" s="4" t="inlineStr">
        <is>
          <t>0.0%</t>
        </is>
      </c>
    </row>
    <row r="12" ht="36" customHeight="1">
      <c r="A12" s="4" t="n">
        <v>7</v>
      </c>
      <c r="B12" s="4" t="inlineStr">
        <is>
          <t>95</t>
        </is>
      </c>
      <c r="C12" s="5" t="inlineStr">
        <is>
          <t>Arunachalam Palaniappan</t>
        </is>
      </c>
      <c r="D12" s="4" t="inlineStr"/>
      <c r="E12" s="5" t="inlineStr"/>
      <c r="F12" s="4" t="inlineStr"/>
      <c r="G12" s="4" t="inlineStr"/>
      <c r="H12" s="5" t="inlineStr"/>
      <c r="I12" s="4" t="inlineStr"/>
      <c r="J12" s="4" t="inlineStr"/>
      <c r="K12" s="5" t="inlineStr"/>
      <c r="L12" s="4" t="inlineStr"/>
      <c r="M12" s="4" t="inlineStr"/>
      <c r="N12" s="5" t="inlineStr"/>
      <c r="O12" s="4" t="inlineStr"/>
      <c r="P12" s="4" t="inlineStr"/>
      <c r="Q12" s="5" t="inlineStr"/>
      <c r="R12" s="4" t="inlineStr"/>
      <c r="S12" s="4" t="inlineStr"/>
      <c r="T12" s="5" t="inlineStr"/>
      <c r="U12" s="4" t="inlineStr"/>
      <c r="V12" s="4" t="inlineStr"/>
      <c r="W12" s="5" t="inlineStr"/>
      <c r="X12" s="4" t="inlineStr"/>
      <c r="Y12" s="4" t="inlineStr"/>
      <c r="Z12" s="5" t="inlineStr"/>
      <c r="AA12" s="4" t="inlineStr"/>
      <c r="AB12" s="4" t="inlineStr"/>
      <c r="AC12" s="5" t="inlineStr"/>
      <c r="AD12" s="4" t="inlineStr"/>
      <c r="AE12" s="4" t="inlineStr"/>
      <c r="AF12" s="5" t="inlineStr"/>
      <c r="AG12" s="4" t="inlineStr"/>
      <c r="AH12" s="4" t="inlineStr"/>
      <c r="AI12" s="5" t="inlineStr"/>
      <c r="AJ12" s="4" t="inlineStr"/>
      <c r="AK12" s="4" t="inlineStr"/>
      <c r="AL12" s="5" t="inlineStr"/>
      <c r="AM12" s="4" t="inlineStr"/>
      <c r="AN12" s="4" t="inlineStr"/>
      <c r="AO12" s="5" t="n">
        <v>0</v>
      </c>
      <c r="AP12" s="4" t="n">
        <v>16</v>
      </c>
      <c r="AQ12" s="4" t="inlineStr">
        <is>
          <t>16.0 Hours Remaining</t>
        </is>
      </c>
      <c r="AR12" s="6" t="inlineStr">
        <is>
          <t>0.0%</t>
        </is>
      </c>
      <c r="AS12" s="7" t="inlineStr">
        <is>
          <t>Critical</t>
        </is>
      </c>
      <c r="AT12" s="4" t="inlineStr">
        <is>
          <t>Accounts</t>
        </is>
      </c>
      <c r="AU12" s="5" t="inlineStr">
        <is>
          <t>Team Manager</t>
        </is>
      </c>
      <c r="AV12" s="4" t="inlineStr">
        <is>
          <t>0.0%</t>
        </is>
      </c>
    </row>
    <row r="13" ht="24" customHeight="1">
      <c r="A13" s="8" t="inlineStr"/>
      <c r="B13" s="8" t="inlineStr"/>
      <c r="C13" s="9" t="inlineStr">
        <is>
          <t>Accounts Subtotal</t>
        </is>
      </c>
      <c r="D13" s="8" t="inlineStr"/>
      <c r="E13" s="9" t="inlineStr"/>
      <c r="F13" s="10">
        <f>SUM(F6:F12)</f>
        <v/>
      </c>
      <c r="G13" s="10">
        <f>SUM(G6:G12)</f>
        <v/>
      </c>
      <c r="H13" s="9" t="inlineStr"/>
      <c r="I13" s="10">
        <f>SUM(I6:I12)</f>
        <v/>
      </c>
      <c r="J13" s="10">
        <f>SUM(J6:J12)</f>
        <v/>
      </c>
      <c r="K13" s="9" t="inlineStr"/>
      <c r="L13" s="10">
        <f>SUM(L6:L12)</f>
        <v/>
      </c>
      <c r="M13" s="10">
        <f>SUM(M6:M12)</f>
        <v/>
      </c>
      <c r="N13" s="9" t="inlineStr"/>
      <c r="O13" s="10">
        <f>SUM(O6:O12)</f>
        <v/>
      </c>
      <c r="P13" s="10">
        <f>SUM(P6:P12)</f>
        <v/>
      </c>
      <c r="Q13" s="9" t="inlineStr"/>
      <c r="R13" s="10">
        <f>SUM(R6:R12)</f>
        <v/>
      </c>
      <c r="S13" s="10">
        <f>SUM(S6:S12)</f>
        <v/>
      </c>
      <c r="T13" s="9" t="inlineStr"/>
      <c r="U13" s="10">
        <f>SUM(U6:U12)</f>
        <v/>
      </c>
      <c r="V13" s="10">
        <f>SUM(V6:V12)</f>
        <v/>
      </c>
      <c r="W13" s="9" t="inlineStr"/>
      <c r="X13" s="10">
        <f>SUM(X6:X12)</f>
        <v/>
      </c>
      <c r="Y13" s="10">
        <f>SUM(Y6:Y12)</f>
        <v/>
      </c>
      <c r="Z13" s="9" t="inlineStr"/>
      <c r="AA13" s="10">
        <f>SUM(AA6:AA12)</f>
        <v/>
      </c>
      <c r="AB13" s="10">
        <f>SUM(AB6:AB12)</f>
        <v/>
      </c>
      <c r="AC13" s="9" t="inlineStr"/>
      <c r="AD13" s="10">
        <f>SUM(AD6:AD12)</f>
        <v/>
      </c>
      <c r="AE13" s="10">
        <f>SUM(AE6:AE12)</f>
        <v/>
      </c>
      <c r="AF13" s="9" t="inlineStr"/>
      <c r="AG13" s="10">
        <f>SUM(AG6:AG12)</f>
        <v/>
      </c>
      <c r="AH13" s="10">
        <f>SUM(AH6:AH12)</f>
        <v/>
      </c>
      <c r="AI13" s="9" t="inlineStr"/>
      <c r="AJ13" s="10">
        <f>SUM(AJ6:AJ12)</f>
        <v/>
      </c>
      <c r="AK13" s="10">
        <f>SUM(AK6:AK12)</f>
        <v/>
      </c>
      <c r="AL13" s="9" t="inlineStr"/>
      <c r="AM13" s="10">
        <f>SUM(AM6:AM12)</f>
        <v/>
      </c>
      <c r="AN13" s="10">
        <f>SUM(AN6:AN12)</f>
        <v/>
      </c>
      <c r="AO13" s="11">
        <f>SUM(AO6:AO12)</f>
        <v/>
      </c>
      <c r="AP13" s="10">
        <f>SUM(AP6:AP12)</f>
        <v/>
      </c>
      <c r="AQ13" s="10">
        <f>SUM(AQ6:AQ12)</f>
        <v/>
      </c>
      <c r="AR13" s="12">
        <f>IF(AP13&gt;0, AO13/AP13, 0)</f>
        <v/>
      </c>
      <c r="AS13" s="10">
        <f>IF(AR13&gt;=1.0, "Achieved", IF(AR13&gt;=0.75, "Good", IF(AR13&gt;=0.5, "Moderate", IF(AR13&gt;=0.25, "Low", "Critical"))))</f>
        <v/>
      </c>
      <c r="AT13" s="10" t="inlineStr">
        <is>
          <t>Accounts</t>
        </is>
      </c>
      <c r="AU13" s="9" t="inlineStr"/>
      <c r="AV13" s="13">
        <f>AVERAGE(AV6:AV12)</f>
        <v/>
      </c>
    </row>
    <row r="14" ht="36" customHeight="1">
      <c r="A14" s="4" t="n">
        <v>8</v>
      </c>
      <c r="B14" s="4" t="inlineStr">
        <is>
          <t>003</t>
        </is>
      </c>
      <c r="C14" s="5" t="inlineStr">
        <is>
          <t>Megha Lakshmi Murugamani</t>
        </is>
      </c>
      <c r="D14" s="4" t="inlineStr"/>
      <c r="E14" s="5" t="inlineStr"/>
      <c r="F14" s="4" t="inlineStr"/>
      <c r="G14" s="4" t="inlineStr"/>
      <c r="H14" s="5" t="inlineStr"/>
      <c r="I14" s="4" t="inlineStr"/>
      <c r="J14" s="4" t="inlineStr"/>
      <c r="K14" s="5" t="inlineStr"/>
      <c r="L14" s="4" t="inlineStr"/>
      <c r="M14" s="4" t="inlineStr"/>
      <c r="N14" s="5" t="inlineStr"/>
      <c r="O14" s="4" t="inlineStr"/>
      <c r="P14" s="4" t="inlineStr"/>
      <c r="Q14" s="5" t="inlineStr"/>
      <c r="R14" s="4" t="inlineStr"/>
      <c r="S14" s="4" t="inlineStr"/>
      <c r="T14" s="5" t="inlineStr"/>
      <c r="U14" s="4" t="inlineStr"/>
      <c r="V14" s="4" t="inlineStr"/>
      <c r="W14" s="5" t="inlineStr"/>
      <c r="X14" s="4" t="inlineStr"/>
      <c r="Y14" s="4" t="inlineStr"/>
      <c r="Z14" s="5" t="inlineStr"/>
      <c r="AA14" s="4" t="inlineStr"/>
      <c r="AB14" s="4" t="inlineStr"/>
      <c r="AC14" s="5" t="inlineStr"/>
      <c r="AD14" s="4" t="inlineStr"/>
      <c r="AE14" s="4" t="inlineStr"/>
      <c r="AF14" s="5" t="inlineStr"/>
      <c r="AG14" s="4" t="inlineStr"/>
      <c r="AH14" s="4" t="inlineStr"/>
      <c r="AI14" s="5" t="inlineStr"/>
      <c r="AJ14" s="4" t="inlineStr"/>
      <c r="AK14" s="4" t="inlineStr"/>
      <c r="AL14" s="5" t="inlineStr"/>
      <c r="AM14" s="4" t="inlineStr"/>
      <c r="AN14" s="4" t="inlineStr"/>
      <c r="AO14" s="5" t="n">
        <v>0</v>
      </c>
      <c r="AP14" s="4" t="n">
        <v>16</v>
      </c>
      <c r="AQ14" s="4" t="inlineStr">
        <is>
          <t>16.0 Hours Remaining</t>
        </is>
      </c>
      <c r="AR14" s="6" t="inlineStr">
        <is>
          <t>0.0%</t>
        </is>
      </c>
      <c r="AS14" s="7" t="inlineStr">
        <is>
          <t>Critical</t>
        </is>
      </c>
      <c r="AT14" s="4" t="inlineStr">
        <is>
          <t>CRM</t>
        </is>
      </c>
      <c r="AU14" s="5" t="inlineStr">
        <is>
          <t>Prakash Padukhone Muthiah</t>
        </is>
      </c>
      <c r="AV14" s="4" t="inlineStr">
        <is>
          <t>0.0%</t>
        </is>
      </c>
    </row>
    <row r="15" ht="36" customHeight="1">
      <c r="A15" s="4" t="n">
        <v>9</v>
      </c>
      <c r="B15" s="4" t="inlineStr">
        <is>
          <t>49</t>
        </is>
      </c>
      <c r="C15" s="5" t="inlineStr">
        <is>
          <t>Roopa R</t>
        </is>
      </c>
      <c r="D15" s="4" t="inlineStr"/>
      <c r="E15" s="5" t="inlineStr"/>
      <c r="F15" s="4" t="inlineStr"/>
      <c r="G15" s="4" t="inlineStr"/>
      <c r="H15" s="5" t="inlineStr"/>
      <c r="I15" s="4" t="inlineStr"/>
      <c r="J15" s="4" t="inlineStr"/>
      <c r="K15" s="5" t="inlineStr"/>
      <c r="L15" s="4" t="inlineStr"/>
      <c r="M15" s="4" t="inlineStr"/>
      <c r="N15" s="5" t="inlineStr"/>
      <c r="O15" s="4" t="inlineStr"/>
      <c r="P15" s="4" t="inlineStr"/>
      <c r="Q15" s="5" t="inlineStr"/>
      <c r="R15" s="4" t="inlineStr"/>
      <c r="S15" s="4" t="inlineStr"/>
      <c r="T15" s="5" t="inlineStr"/>
      <c r="U15" s="4" t="inlineStr"/>
      <c r="V15" s="4" t="inlineStr"/>
      <c r="W15" s="5" t="inlineStr"/>
      <c r="X15" s="4" t="inlineStr"/>
      <c r="Y15" s="4" t="inlineStr"/>
      <c r="Z15" s="5" t="inlineStr"/>
      <c r="AA15" s="4" t="inlineStr"/>
      <c r="AB15" s="4" t="inlineStr"/>
      <c r="AC15" s="5" t="inlineStr"/>
      <c r="AD15" s="4" t="inlineStr"/>
      <c r="AE15" s="4" t="inlineStr"/>
      <c r="AF15" s="5" t="inlineStr"/>
      <c r="AG15" s="4" t="inlineStr"/>
      <c r="AH15" s="4" t="inlineStr"/>
      <c r="AI15" s="5" t="inlineStr"/>
      <c r="AJ15" s="4" t="inlineStr"/>
      <c r="AK15" s="4" t="inlineStr"/>
      <c r="AL15" s="5" t="inlineStr"/>
      <c r="AM15" s="4" t="inlineStr"/>
      <c r="AN15" s="4" t="inlineStr"/>
      <c r="AO15" s="5" t="n">
        <v>0</v>
      </c>
      <c r="AP15" s="4" t="n">
        <v>16</v>
      </c>
      <c r="AQ15" s="4" t="inlineStr">
        <is>
          <t>16.0 Hours Remaining</t>
        </is>
      </c>
      <c r="AR15" s="6" t="inlineStr">
        <is>
          <t>0.0%</t>
        </is>
      </c>
      <c r="AS15" s="7" t="inlineStr">
        <is>
          <t>Critical</t>
        </is>
      </c>
      <c r="AT15" s="4" t="inlineStr">
        <is>
          <t>CRM</t>
        </is>
      </c>
      <c r="AU15" s="5" t="inlineStr">
        <is>
          <t>Prakash Padukhone Muthiah</t>
        </is>
      </c>
      <c r="AV15" s="4" t="inlineStr">
        <is>
          <t>0.0%</t>
        </is>
      </c>
    </row>
    <row r="16" ht="24" customHeight="1">
      <c r="A16" s="8" t="inlineStr"/>
      <c r="B16" s="8" t="inlineStr"/>
      <c r="C16" s="9" t="inlineStr">
        <is>
          <t>CRM Subtotal</t>
        </is>
      </c>
      <c r="D16" s="8" t="inlineStr"/>
      <c r="E16" s="9" t="inlineStr"/>
      <c r="F16" s="10">
        <f>SUM(F14:F15)</f>
        <v/>
      </c>
      <c r="G16" s="10">
        <f>SUM(G14:G15)</f>
        <v/>
      </c>
      <c r="H16" s="9" t="inlineStr"/>
      <c r="I16" s="10">
        <f>SUM(I14:I15)</f>
        <v/>
      </c>
      <c r="J16" s="10">
        <f>SUM(J14:J15)</f>
        <v/>
      </c>
      <c r="K16" s="9" t="inlineStr"/>
      <c r="L16" s="10">
        <f>SUM(L14:L15)</f>
        <v/>
      </c>
      <c r="M16" s="10">
        <f>SUM(M14:M15)</f>
        <v/>
      </c>
      <c r="N16" s="9" t="inlineStr"/>
      <c r="O16" s="10">
        <f>SUM(O14:O15)</f>
        <v/>
      </c>
      <c r="P16" s="10">
        <f>SUM(P14:P15)</f>
        <v/>
      </c>
      <c r="Q16" s="9" t="inlineStr"/>
      <c r="R16" s="10">
        <f>SUM(R14:R15)</f>
        <v/>
      </c>
      <c r="S16" s="10">
        <f>SUM(S14:S15)</f>
        <v/>
      </c>
      <c r="T16" s="9" t="inlineStr"/>
      <c r="U16" s="10">
        <f>SUM(U14:U15)</f>
        <v/>
      </c>
      <c r="V16" s="10">
        <f>SUM(V14:V15)</f>
        <v/>
      </c>
      <c r="W16" s="9" t="inlineStr"/>
      <c r="X16" s="10">
        <f>SUM(X14:X15)</f>
        <v/>
      </c>
      <c r="Y16" s="10">
        <f>SUM(Y14:Y15)</f>
        <v/>
      </c>
      <c r="Z16" s="9" t="inlineStr"/>
      <c r="AA16" s="10">
        <f>SUM(AA14:AA15)</f>
        <v/>
      </c>
      <c r="AB16" s="10">
        <f>SUM(AB14:AB15)</f>
        <v/>
      </c>
      <c r="AC16" s="9" t="inlineStr"/>
      <c r="AD16" s="10">
        <f>SUM(AD14:AD15)</f>
        <v/>
      </c>
      <c r="AE16" s="10">
        <f>SUM(AE14:AE15)</f>
        <v/>
      </c>
      <c r="AF16" s="9" t="inlineStr"/>
      <c r="AG16" s="10">
        <f>SUM(AG14:AG15)</f>
        <v/>
      </c>
      <c r="AH16" s="10">
        <f>SUM(AH14:AH15)</f>
        <v/>
      </c>
      <c r="AI16" s="9" t="inlineStr"/>
      <c r="AJ16" s="10">
        <f>SUM(AJ14:AJ15)</f>
        <v/>
      </c>
      <c r="AK16" s="10">
        <f>SUM(AK14:AK15)</f>
        <v/>
      </c>
      <c r="AL16" s="9" t="inlineStr"/>
      <c r="AM16" s="10">
        <f>SUM(AM14:AM15)</f>
        <v/>
      </c>
      <c r="AN16" s="10">
        <f>SUM(AN14:AN15)</f>
        <v/>
      </c>
      <c r="AO16" s="11">
        <f>SUM(AO14:AO15)</f>
        <v/>
      </c>
      <c r="AP16" s="10">
        <f>SUM(AP14:AP15)</f>
        <v/>
      </c>
      <c r="AQ16" s="10">
        <f>SUM(AQ14:AQ15)</f>
        <v/>
      </c>
      <c r="AR16" s="12">
        <f>IF(AP16&gt;0, AO16/AP16, 0)</f>
        <v/>
      </c>
      <c r="AS16" s="10">
        <f>IF(AR16&gt;=1.0, "Achieved", IF(AR16&gt;=0.75, "Good", IF(AR16&gt;=0.5, "Moderate", IF(AR16&gt;=0.25, "Low", "Critical"))))</f>
        <v/>
      </c>
      <c r="AT16" s="10" t="inlineStr">
        <is>
          <t>CRM</t>
        </is>
      </c>
      <c r="AU16" s="9" t="inlineStr"/>
      <c r="AV16" s="13">
        <f>AVERAGE(AV14:AV15)</f>
        <v/>
      </c>
    </row>
    <row r="17" ht="36" customHeight="1">
      <c r="A17" s="4" t="n">
        <v>10</v>
      </c>
      <c r="B17" s="4" t="inlineStr">
        <is>
          <t>108</t>
        </is>
      </c>
      <c r="C17" s="5" t="inlineStr">
        <is>
          <t>Ramani Balan</t>
        </is>
      </c>
      <c r="D17" s="4" t="inlineStr"/>
      <c r="E17" s="5" t="inlineStr"/>
      <c r="F17" s="4" t="inlineStr"/>
      <c r="G17" s="4" t="inlineStr"/>
      <c r="H17" s="5" t="inlineStr"/>
      <c r="I17" s="4" t="inlineStr"/>
      <c r="J17" s="4" t="inlineStr"/>
      <c r="K17" s="5" t="inlineStr"/>
      <c r="L17" s="4" t="inlineStr"/>
      <c r="M17" s="4" t="inlineStr"/>
      <c r="N17" s="5" t="inlineStr"/>
      <c r="O17" s="4" t="inlineStr"/>
      <c r="P17" s="4" t="inlineStr"/>
      <c r="Q17" s="5" t="inlineStr"/>
      <c r="R17" s="4" t="inlineStr"/>
      <c r="S17" s="4" t="inlineStr"/>
      <c r="T17" s="5" t="inlineStr"/>
      <c r="U17" s="4" t="inlineStr"/>
      <c r="V17" s="4" t="inlineStr"/>
      <c r="W17" s="5" t="inlineStr"/>
      <c r="X17" s="4" t="inlineStr"/>
      <c r="Y17" s="4" t="inlineStr"/>
      <c r="Z17" s="5" t="inlineStr"/>
      <c r="AA17" s="4" t="inlineStr"/>
      <c r="AB17" s="4" t="inlineStr"/>
      <c r="AC17" s="5" t="inlineStr"/>
      <c r="AD17" s="4" t="inlineStr"/>
      <c r="AE17" s="4" t="inlineStr"/>
      <c r="AF17" s="5" t="inlineStr"/>
      <c r="AG17" s="4" t="inlineStr"/>
      <c r="AH17" s="4" t="inlineStr"/>
      <c r="AI17" s="5" t="inlineStr"/>
      <c r="AJ17" s="4" t="inlineStr"/>
      <c r="AK17" s="4" t="inlineStr"/>
      <c r="AL17" s="5" t="inlineStr"/>
      <c r="AM17" s="4" t="inlineStr"/>
      <c r="AN17" s="4" t="inlineStr"/>
      <c r="AO17" s="5" t="n">
        <v>0</v>
      </c>
      <c r="AP17" s="4" t="n">
        <v>16</v>
      </c>
      <c r="AQ17" s="4" t="inlineStr">
        <is>
          <t>16.0 Hours Remaining</t>
        </is>
      </c>
      <c r="AR17" s="6" t="inlineStr">
        <is>
          <t>0.0%</t>
        </is>
      </c>
      <c r="AS17" s="7" t="inlineStr">
        <is>
          <t>Critical</t>
        </is>
      </c>
      <c r="AT17" s="4" t="inlineStr">
        <is>
          <t>Casting</t>
        </is>
      </c>
      <c r="AU17" s="5" t="inlineStr">
        <is>
          <t>R Rathina Kumar</t>
        </is>
      </c>
      <c r="AV17" s="4" t="inlineStr">
        <is>
          <t>0.0%</t>
        </is>
      </c>
    </row>
    <row r="18" ht="36" customHeight="1">
      <c r="A18" s="4" t="n">
        <v>11</v>
      </c>
      <c r="B18" s="4" t="inlineStr">
        <is>
          <t>81</t>
        </is>
      </c>
      <c r="C18" s="5" t="inlineStr">
        <is>
          <t>Balakumar N</t>
        </is>
      </c>
      <c r="D18" s="4" t="inlineStr"/>
      <c r="E18" s="5" t="inlineStr"/>
      <c r="F18" s="4" t="inlineStr"/>
      <c r="G18" s="4" t="inlineStr"/>
      <c r="H18" s="5" t="inlineStr"/>
      <c r="I18" s="4" t="inlineStr"/>
      <c r="J18" s="4" t="inlineStr"/>
      <c r="K18" s="5" t="inlineStr"/>
      <c r="L18" s="4" t="inlineStr"/>
      <c r="M18" s="4" t="inlineStr"/>
      <c r="N18" s="5" t="inlineStr"/>
      <c r="O18" s="4" t="inlineStr"/>
      <c r="P18" s="4" t="inlineStr"/>
      <c r="Q18" s="5" t="inlineStr"/>
      <c r="R18" s="4" t="inlineStr"/>
      <c r="S18" s="4" t="inlineStr"/>
      <c r="T18" s="5" t="inlineStr"/>
      <c r="U18" s="4" t="inlineStr"/>
      <c r="V18" s="4" t="inlineStr"/>
      <c r="W18" s="5" t="inlineStr"/>
      <c r="X18" s="4" t="inlineStr"/>
      <c r="Y18" s="4" t="inlineStr"/>
      <c r="Z18" s="5" t="inlineStr"/>
      <c r="AA18" s="4" t="inlineStr"/>
      <c r="AB18" s="4" t="inlineStr"/>
      <c r="AC18" s="5" t="inlineStr"/>
      <c r="AD18" s="4" t="inlineStr"/>
      <c r="AE18" s="4" t="inlineStr"/>
      <c r="AF18" s="5" t="inlineStr"/>
      <c r="AG18" s="4" t="inlineStr"/>
      <c r="AH18" s="4" t="inlineStr"/>
      <c r="AI18" s="5" t="inlineStr"/>
      <c r="AJ18" s="4" t="inlineStr"/>
      <c r="AK18" s="4" t="inlineStr"/>
      <c r="AL18" s="5" t="inlineStr"/>
      <c r="AM18" s="4" t="inlineStr"/>
      <c r="AN18" s="4" t="inlineStr"/>
      <c r="AO18" s="5" t="n">
        <v>0</v>
      </c>
      <c r="AP18" s="4" t="n">
        <v>16</v>
      </c>
      <c r="AQ18" s="4" t="inlineStr">
        <is>
          <t>16.0 Hours Remaining</t>
        </is>
      </c>
      <c r="AR18" s="6" t="inlineStr">
        <is>
          <t>0.0%</t>
        </is>
      </c>
      <c r="AS18" s="7" t="inlineStr">
        <is>
          <t>Critical</t>
        </is>
      </c>
      <c r="AT18" s="4" t="inlineStr">
        <is>
          <t>Casting</t>
        </is>
      </c>
      <c r="AU18" s="5" t="inlineStr">
        <is>
          <t>R Rathina Kumar</t>
        </is>
      </c>
      <c r="AV18" s="4" t="inlineStr">
        <is>
          <t>0.0%</t>
        </is>
      </c>
    </row>
    <row r="19" ht="24" customHeight="1">
      <c r="A19" s="8" t="inlineStr"/>
      <c r="B19" s="8" t="inlineStr"/>
      <c r="C19" s="9" t="inlineStr">
        <is>
          <t>Casting Subtotal</t>
        </is>
      </c>
      <c r="D19" s="8" t="inlineStr"/>
      <c r="E19" s="9" t="inlineStr"/>
      <c r="F19" s="10">
        <f>SUM(F17:F18)</f>
        <v/>
      </c>
      <c r="G19" s="10">
        <f>SUM(G17:G18)</f>
        <v/>
      </c>
      <c r="H19" s="9" t="inlineStr"/>
      <c r="I19" s="10">
        <f>SUM(I17:I18)</f>
        <v/>
      </c>
      <c r="J19" s="10">
        <f>SUM(J17:J18)</f>
        <v/>
      </c>
      <c r="K19" s="9" t="inlineStr"/>
      <c r="L19" s="10">
        <f>SUM(L17:L18)</f>
        <v/>
      </c>
      <c r="M19" s="10">
        <f>SUM(M17:M18)</f>
        <v/>
      </c>
      <c r="N19" s="9" t="inlineStr"/>
      <c r="O19" s="10">
        <f>SUM(O17:O18)</f>
        <v/>
      </c>
      <c r="P19" s="10">
        <f>SUM(P17:P18)</f>
        <v/>
      </c>
      <c r="Q19" s="9" t="inlineStr"/>
      <c r="R19" s="10">
        <f>SUM(R17:R18)</f>
        <v/>
      </c>
      <c r="S19" s="10">
        <f>SUM(S17:S18)</f>
        <v/>
      </c>
      <c r="T19" s="9" t="inlineStr"/>
      <c r="U19" s="10">
        <f>SUM(U17:U18)</f>
        <v/>
      </c>
      <c r="V19" s="10">
        <f>SUM(V17:V18)</f>
        <v/>
      </c>
      <c r="W19" s="9" t="inlineStr"/>
      <c r="X19" s="10">
        <f>SUM(X17:X18)</f>
        <v/>
      </c>
      <c r="Y19" s="10">
        <f>SUM(Y17:Y18)</f>
        <v/>
      </c>
      <c r="Z19" s="9" t="inlineStr"/>
      <c r="AA19" s="10">
        <f>SUM(AA17:AA18)</f>
        <v/>
      </c>
      <c r="AB19" s="10">
        <f>SUM(AB17:AB18)</f>
        <v/>
      </c>
      <c r="AC19" s="9" t="inlineStr"/>
      <c r="AD19" s="10">
        <f>SUM(AD17:AD18)</f>
        <v/>
      </c>
      <c r="AE19" s="10">
        <f>SUM(AE17:AE18)</f>
        <v/>
      </c>
      <c r="AF19" s="9" t="inlineStr"/>
      <c r="AG19" s="10">
        <f>SUM(AG17:AG18)</f>
        <v/>
      </c>
      <c r="AH19" s="10">
        <f>SUM(AH17:AH18)</f>
        <v/>
      </c>
      <c r="AI19" s="9" t="inlineStr"/>
      <c r="AJ19" s="10">
        <f>SUM(AJ17:AJ18)</f>
        <v/>
      </c>
      <c r="AK19" s="10">
        <f>SUM(AK17:AK18)</f>
        <v/>
      </c>
      <c r="AL19" s="9" t="inlineStr"/>
      <c r="AM19" s="10">
        <f>SUM(AM17:AM18)</f>
        <v/>
      </c>
      <c r="AN19" s="10">
        <f>SUM(AN17:AN18)</f>
        <v/>
      </c>
      <c r="AO19" s="11">
        <f>SUM(AO17:AO18)</f>
        <v/>
      </c>
      <c r="AP19" s="10">
        <f>SUM(AP17:AP18)</f>
        <v/>
      </c>
      <c r="AQ19" s="10">
        <f>SUM(AQ17:AQ18)</f>
        <v/>
      </c>
      <c r="AR19" s="12">
        <f>IF(AP19&gt;0, AO19/AP19, 0)</f>
        <v/>
      </c>
      <c r="AS19" s="10">
        <f>IF(AR19&gt;=1.0, "Achieved", IF(AR19&gt;=0.75, "Good", IF(AR19&gt;=0.5, "Moderate", IF(AR19&gt;=0.25, "Low", "Critical"))))</f>
        <v/>
      </c>
      <c r="AT19" s="10" t="inlineStr">
        <is>
          <t>Casting</t>
        </is>
      </c>
      <c r="AU19" s="9" t="inlineStr"/>
      <c r="AV19" s="13">
        <f>AVERAGE(AV17:AV18)</f>
        <v/>
      </c>
    </row>
    <row r="20" ht="36" customHeight="1">
      <c r="A20" s="4" t="n">
        <v>12</v>
      </c>
      <c r="B20" s="4" t="inlineStr">
        <is>
          <t>11</t>
        </is>
      </c>
      <c r="C20" s="5" t="inlineStr">
        <is>
          <t>Rajeshwari Ganeshkumar</t>
        </is>
      </c>
      <c r="D20" s="4" t="inlineStr"/>
      <c r="E20" s="5" t="inlineStr"/>
      <c r="F20" s="4" t="inlineStr"/>
      <c r="G20" s="4" t="inlineStr"/>
      <c r="H20" s="5" t="inlineStr"/>
      <c r="I20" s="4" t="inlineStr"/>
      <c r="J20" s="4" t="inlineStr"/>
      <c r="K20" s="5" t="inlineStr"/>
      <c r="L20" s="4" t="inlineStr"/>
      <c r="M20" s="4" t="inlineStr"/>
      <c r="N20" s="5" t="inlineStr"/>
      <c r="O20" s="4" t="inlineStr"/>
      <c r="P20" s="4" t="inlineStr"/>
      <c r="Q20" s="5" t="inlineStr"/>
      <c r="R20" s="4" t="inlineStr"/>
      <c r="S20" s="4" t="inlineStr"/>
      <c r="T20" s="5" t="inlineStr"/>
      <c r="U20" s="4" t="inlineStr"/>
      <c r="V20" s="4" t="inlineStr"/>
      <c r="W20" s="5" t="inlineStr"/>
      <c r="X20" s="4" t="inlineStr"/>
      <c r="Y20" s="4" t="inlineStr"/>
      <c r="Z20" s="5" t="inlineStr"/>
      <c r="AA20" s="4" t="inlineStr"/>
      <c r="AB20" s="4" t="inlineStr"/>
      <c r="AC20" s="5" t="inlineStr"/>
      <c r="AD20" s="4" t="inlineStr"/>
      <c r="AE20" s="4" t="inlineStr"/>
      <c r="AF20" s="5" t="inlineStr"/>
      <c r="AG20" s="4" t="inlineStr"/>
      <c r="AH20" s="4" t="inlineStr"/>
      <c r="AI20" s="5" t="inlineStr"/>
      <c r="AJ20" s="4" t="inlineStr"/>
      <c r="AK20" s="4" t="inlineStr"/>
      <c r="AL20" s="5" t="inlineStr"/>
      <c r="AM20" s="4" t="inlineStr"/>
      <c r="AN20" s="4" t="inlineStr"/>
      <c r="AO20" s="5" t="n">
        <v>0</v>
      </c>
      <c r="AP20" s="4" t="n">
        <v>16</v>
      </c>
      <c r="AQ20" s="4" t="inlineStr">
        <is>
          <t>16.0 Hours Remaining</t>
        </is>
      </c>
      <c r="AR20" s="6" t="inlineStr">
        <is>
          <t>0.0%</t>
        </is>
      </c>
      <c r="AS20" s="7" t="inlineStr">
        <is>
          <t>Critical</t>
        </is>
      </c>
      <c r="AT20" s="4" t="inlineStr">
        <is>
          <t>Commercial</t>
        </is>
      </c>
      <c r="AU20" s="5" t="inlineStr">
        <is>
          <t>Prakash Padukhone Muthiah</t>
        </is>
      </c>
      <c r="AV20" s="4" t="inlineStr">
        <is>
          <t>0.0%</t>
        </is>
      </c>
    </row>
    <row r="21" ht="36" customHeight="1">
      <c r="A21" s="4" t="n">
        <v>13</v>
      </c>
      <c r="B21" s="4" t="inlineStr">
        <is>
          <t>33</t>
        </is>
      </c>
      <c r="C21" s="5" t="inlineStr">
        <is>
          <t>Vivek R</t>
        </is>
      </c>
      <c r="D21" s="4" t="inlineStr"/>
      <c r="E21" s="5" t="inlineStr"/>
      <c r="F21" s="4" t="inlineStr"/>
      <c r="G21" s="4" t="inlineStr"/>
      <c r="H21" s="5" t="inlineStr"/>
      <c r="I21" s="4" t="inlineStr"/>
      <c r="J21" s="4" t="inlineStr"/>
      <c r="K21" s="5" t="inlineStr"/>
      <c r="L21" s="4" t="inlineStr"/>
      <c r="M21" s="4" t="inlineStr"/>
      <c r="N21" s="5" t="inlineStr"/>
      <c r="O21" s="4" t="inlineStr"/>
      <c r="P21" s="4" t="inlineStr"/>
      <c r="Q21" s="5" t="inlineStr"/>
      <c r="R21" s="4" t="inlineStr"/>
      <c r="S21" s="4" t="inlineStr"/>
      <c r="T21" s="5" t="inlineStr"/>
      <c r="U21" s="4" t="inlineStr"/>
      <c r="V21" s="4" t="inlineStr"/>
      <c r="W21" s="5" t="inlineStr"/>
      <c r="X21" s="4" t="inlineStr"/>
      <c r="Y21" s="4" t="inlineStr"/>
      <c r="Z21" s="5" t="inlineStr"/>
      <c r="AA21" s="4" t="inlineStr"/>
      <c r="AB21" s="4" t="inlineStr"/>
      <c r="AC21" s="5" t="inlineStr"/>
      <c r="AD21" s="4" t="inlineStr"/>
      <c r="AE21" s="4" t="inlineStr"/>
      <c r="AF21" s="5" t="inlineStr"/>
      <c r="AG21" s="4" t="inlineStr"/>
      <c r="AH21" s="4" t="inlineStr"/>
      <c r="AI21" s="5" t="inlineStr"/>
      <c r="AJ21" s="4" t="inlineStr"/>
      <c r="AK21" s="4" t="inlineStr"/>
      <c r="AL21" s="5" t="inlineStr"/>
      <c r="AM21" s="4" t="inlineStr"/>
      <c r="AN21" s="4" t="inlineStr"/>
      <c r="AO21" s="5" t="n">
        <v>0</v>
      </c>
      <c r="AP21" s="4" t="n">
        <v>16</v>
      </c>
      <c r="AQ21" s="4" t="inlineStr">
        <is>
          <t>16.0 Hours Remaining</t>
        </is>
      </c>
      <c r="AR21" s="6" t="inlineStr">
        <is>
          <t>0.0%</t>
        </is>
      </c>
      <c r="AS21" s="7" t="inlineStr">
        <is>
          <t>Critical</t>
        </is>
      </c>
      <c r="AT21" s="4" t="inlineStr">
        <is>
          <t>Commercial</t>
        </is>
      </c>
      <c r="AU21" s="5" t="inlineStr">
        <is>
          <t>Rajeshwari Ganeshkumar</t>
        </is>
      </c>
      <c r="AV21" s="4" t="inlineStr">
        <is>
          <t>0.0%</t>
        </is>
      </c>
    </row>
    <row r="22" ht="36" customHeight="1">
      <c r="A22" s="4" t="n">
        <v>14</v>
      </c>
      <c r="B22" s="4" t="inlineStr">
        <is>
          <t>82</t>
        </is>
      </c>
      <c r="C22" s="5" t="inlineStr">
        <is>
          <t>Sathishkumar Narayanappa</t>
        </is>
      </c>
      <c r="D22" s="4" t="inlineStr"/>
      <c r="E22" s="5" t="inlineStr"/>
      <c r="F22" s="4" t="inlineStr"/>
      <c r="G22" s="4" t="inlineStr"/>
      <c r="H22" s="5" t="inlineStr"/>
      <c r="I22" s="4" t="inlineStr"/>
      <c r="J22" s="4" t="inlineStr"/>
      <c r="K22" s="5" t="inlineStr"/>
      <c r="L22" s="4" t="inlineStr"/>
      <c r="M22" s="4" t="inlineStr"/>
      <c r="N22" s="5" t="inlineStr"/>
      <c r="O22" s="4" t="inlineStr"/>
      <c r="P22" s="4" t="inlineStr"/>
      <c r="Q22" s="5" t="inlineStr"/>
      <c r="R22" s="4" t="inlineStr"/>
      <c r="S22" s="4" t="inlineStr"/>
      <c r="T22" s="5" t="inlineStr"/>
      <c r="U22" s="4" t="inlineStr"/>
      <c r="V22" s="4" t="inlineStr"/>
      <c r="W22" s="5" t="inlineStr"/>
      <c r="X22" s="4" t="inlineStr"/>
      <c r="Y22" s="4" t="inlineStr"/>
      <c r="Z22" s="5" t="inlineStr"/>
      <c r="AA22" s="4" t="inlineStr"/>
      <c r="AB22" s="4" t="inlineStr"/>
      <c r="AC22" s="5" t="inlineStr"/>
      <c r="AD22" s="4" t="inlineStr"/>
      <c r="AE22" s="4" t="inlineStr"/>
      <c r="AF22" s="5" t="inlineStr"/>
      <c r="AG22" s="4" t="inlineStr"/>
      <c r="AH22" s="4" t="inlineStr"/>
      <c r="AI22" s="5" t="inlineStr"/>
      <c r="AJ22" s="4" t="inlineStr"/>
      <c r="AK22" s="4" t="inlineStr"/>
      <c r="AL22" s="5" t="inlineStr"/>
      <c r="AM22" s="4" t="inlineStr"/>
      <c r="AN22" s="4" t="inlineStr"/>
      <c r="AO22" s="5" t="n">
        <v>0</v>
      </c>
      <c r="AP22" s="4" t="n">
        <v>16</v>
      </c>
      <c r="AQ22" s="4" t="inlineStr">
        <is>
          <t>16.0 Hours Remaining</t>
        </is>
      </c>
      <c r="AR22" s="6" t="inlineStr">
        <is>
          <t>0.0%</t>
        </is>
      </c>
      <c r="AS22" s="7" t="inlineStr">
        <is>
          <t>Critical</t>
        </is>
      </c>
      <c r="AT22" s="4" t="inlineStr">
        <is>
          <t>Commercial</t>
        </is>
      </c>
      <c r="AU22" s="5" t="inlineStr">
        <is>
          <t>Rajeshwari Ganeshkumar</t>
        </is>
      </c>
      <c r="AV22" s="4" t="inlineStr">
        <is>
          <t>0.0%</t>
        </is>
      </c>
    </row>
    <row r="23" ht="24" customHeight="1">
      <c r="A23" s="8" t="inlineStr"/>
      <c r="B23" s="8" t="inlineStr"/>
      <c r="C23" s="9" t="inlineStr">
        <is>
          <t>Commercial Subtotal</t>
        </is>
      </c>
      <c r="D23" s="8" t="inlineStr"/>
      <c r="E23" s="9" t="inlineStr"/>
      <c r="F23" s="10">
        <f>SUM(F20:F22)</f>
        <v/>
      </c>
      <c r="G23" s="10">
        <f>SUM(G20:G22)</f>
        <v/>
      </c>
      <c r="H23" s="9" t="inlineStr"/>
      <c r="I23" s="10">
        <f>SUM(I20:I22)</f>
        <v/>
      </c>
      <c r="J23" s="10">
        <f>SUM(J20:J22)</f>
        <v/>
      </c>
      <c r="K23" s="9" t="inlineStr"/>
      <c r="L23" s="10">
        <f>SUM(L20:L22)</f>
        <v/>
      </c>
      <c r="M23" s="10">
        <f>SUM(M20:M22)</f>
        <v/>
      </c>
      <c r="N23" s="9" t="inlineStr"/>
      <c r="O23" s="10">
        <f>SUM(O20:O22)</f>
        <v/>
      </c>
      <c r="P23" s="10">
        <f>SUM(P20:P22)</f>
        <v/>
      </c>
      <c r="Q23" s="9" t="inlineStr"/>
      <c r="R23" s="10">
        <f>SUM(R20:R22)</f>
        <v/>
      </c>
      <c r="S23" s="10">
        <f>SUM(S20:S22)</f>
        <v/>
      </c>
      <c r="T23" s="9" t="inlineStr"/>
      <c r="U23" s="10">
        <f>SUM(U20:U22)</f>
        <v/>
      </c>
      <c r="V23" s="10">
        <f>SUM(V20:V22)</f>
        <v/>
      </c>
      <c r="W23" s="9" t="inlineStr"/>
      <c r="X23" s="10">
        <f>SUM(X20:X22)</f>
        <v/>
      </c>
      <c r="Y23" s="10">
        <f>SUM(Y20:Y22)</f>
        <v/>
      </c>
      <c r="Z23" s="9" t="inlineStr"/>
      <c r="AA23" s="10">
        <f>SUM(AA20:AA22)</f>
        <v/>
      </c>
      <c r="AB23" s="10">
        <f>SUM(AB20:AB22)</f>
        <v/>
      </c>
      <c r="AC23" s="9" t="inlineStr"/>
      <c r="AD23" s="10">
        <f>SUM(AD20:AD22)</f>
        <v/>
      </c>
      <c r="AE23" s="10">
        <f>SUM(AE20:AE22)</f>
        <v/>
      </c>
      <c r="AF23" s="9" t="inlineStr"/>
      <c r="AG23" s="10">
        <f>SUM(AG20:AG22)</f>
        <v/>
      </c>
      <c r="AH23" s="10">
        <f>SUM(AH20:AH22)</f>
        <v/>
      </c>
      <c r="AI23" s="9" t="inlineStr"/>
      <c r="AJ23" s="10">
        <f>SUM(AJ20:AJ22)</f>
        <v/>
      </c>
      <c r="AK23" s="10">
        <f>SUM(AK20:AK22)</f>
        <v/>
      </c>
      <c r="AL23" s="9" t="inlineStr"/>
      <c r="AM23" s="10">
        <f>SUM(AM20:AM22)</f>
        <v/>
      </c>
      <c r="AN23" s="10">
        <f>SUM(AN20:AN22)</f>
        <v/>
      </c>
      <c r="AO23" s="11">
        <f>SUM(AO20:AO22)</f>
        <v/>
      </c>
      <c r="AP23" s="10">
        <f>SUM(AP20:AP22)</f>
        <v/>
      </c>
      <c r="AQ23" s="10">
        <f>SUM(AQ20:AQ22)</f>
        <v/>
      </c>
      <c r="AR23" s="12">
        <f>IF(AP23&gt;0, AO23/AP23, 0)</f>
        <v/>
      </c>
      <c r="AS23" s="10">
        <f>IF(AR23&gt;=1.0, "Achieved", IF(AR23&gt;=0.75, "Good", IF(AR23&gt;=0.5, "Moderate", IF(AR23&gt;=0.25, "Low", "Critical"))))</f>
        <v/>
      </c>
      <c r="AT23" s="10" t="inlineStr">
        <is>
          <t>Commercial</t>
        </is>
      </c>
      <c r="AU23" s="9" t="inlineStr"/>
      <c r="AV23" s="13">
        <f>AVERAGE(AV20:AV22)</f>
        <v/>
      </c>
    </row>
    <row r="24" ht="36" customHeight="1">
      <c r="A24" s="4" t="n">
        <v>15</v>
      </c>
      <c r="B24" s="4" t="inlineStr">
        <is>
          <t>70</t>
        </is>
      </c>
      <c r="C24" s="5" t="inlineStr">
        <is>
          <t>Mohan S</t>
        </is>
      </c>
      <c r="D24" s="4" t="inlineStr"/>
      <c r="E24" s="5" t="inlineStr"/>
      <c r="F24" s="4" t="inlineStr"/>
      <c r="G24" s="4" t="inlineStr"/>
      <c r="H24" s="5" t="inlineStr"/>
      <c r="I24" s="4" t="inlineStr"/>
      <c r="J24" s="4" t="inlineStr"/>
      <c r="K24" s="5" t="inlineStr"/>
      <c r="L24" s="4" t="inlineStr"/>
      <c r="M24" s="4" t="inlineStr"/>
      <c r="N24" s="5" t="inlineStr"/>
      <c r="O24" s="4" t="inlineStr"/>
      <c r="P24" s="4" t="inlineStr"/>
      <c r="Q24" s="5" t="inlineStr"/>
      <c r="R24" s="4" t="inlineStr"/>
      <c r="S24" s="4" t="inlineStr"/>
      <c r="T24" s="5" t="inlineStr"/>
      <c r="U24" s="4" t="inlineStr"/>
      <c r="V24" s="4" t="inlineStr"/>
      <c r="W24" s="5" t="inlineStr"/>
      <c r="X24" s="4" t="inlineStr"/>
      <c r="Y24" s="4" t="inlineStr"/>
      <c r="Z24" s="5" t="inlineStr"/>
      <c r="AA24" s="4" t="inlineStr"/>
      <c r="AB24" s="4" t="inlineStr"/>
      <c r="AC24" s="5" t="inlineStr"/>
      <c r="AD24" s="4" t="inlineStr"/>
      <c r="AE24" s="4" t="inlineStr"/>
      <c r="AF24" s="5" t="inlineStr"/>
      <c r="AG24" s="4" t="inlineStr"/>
      <c r="AH24" s="4" t="inlineStr"/>
      <c r="AI24" s="5" t="inlineStr"/>
      <c r="AJ24" s="4" t="inlineStr"/>
      <c r="AK24" s="4" t="inlineStr"/>
      <c r="AL24" s="5" t="inlineStr"/>
      <c r="AM24" s="4" t="inlineStr"/>
      <c r="AN24" s="4" t="inlineStr"/>
      <c r="AO24" s="5" t="n">
        <v>0</v>
      </c>
      <c r="AP24" s="4" t="n">
        <v>16</v>
      </c>
      <c r="AQ24" s="4" t="inlineStr">
        <is>
          <t>16.0 Hours Remaining</t>
        </is>
      </c>
      <c r="AR24" s="6" t="inlineStr">
        <is>
          <t>0.0%</t>
        </is>
      </c>
      <c r="AS24" s="7" t="inlineStr">
        <is>
          <t>Critical</t>
        </is>
      </c>
      <c r="AT24" s="4" t="inlineStr">
        <is>
          <t>Driver</t>
        </is>
      </c>
      <c r="AU24" s="5" t="inlineStr">
        <is>
          <t>Sakthivel Muthu</t>
        </is>
      </c>
      <c r="AV24" s="4" t="inlineStr">
        <is>
          <t>0.0%</t>
        </is>
      </c>
    </row>
    <row r="25" ht="24" customHeight="1">
      <c r="A25" s="8" t="inlineStr"/>
      <c r="B25" s="8" t="inlineStr"/>
      <c r="C25" s="9" t="inlineStr">
        <is>
          <t>Driver Subtotal</t>
        </is>
      </c>
      <c r="D25" s="8" t="inlineStr"/>
      <c r="E25" s="9" t="inlineStr"/>
      <c r="F25" s="10">
        <f>SUM(F24:F24)</f>
        <v/>
      </c>
      <c r="G25" s="10">
        <f>SUM(G24:G24)</f>
        <v/>
      </c>
      <c r="H25" s="9" t="inlineStr"/>
      <c r="I25" s="10">
        <f>SUM(I24:I24)</f>
        <v/>
      </c>
      <c r="J25" s="10">
        <f>SUM(J24:J24)</f>
        <v/>
      </c>
      <c r="K25" s="9" t="inlineStr"/>
      <c r="L25" s="10">
        <f>SUM(L24:L24)</f>
        <v/>
      </c>
      <c r="M25" s="10">
        <f>SUM(M24:M24)</f>
        <v/>
      </c>
      <c r="N25" s="9" t="inlineStr"/>
      <c r="O25" s="10">
        <f>SUM(O24:O24)</f>
        <v/>
      </c>
      <c r="P25" s="10">
        <f>SUM(P24:P24)</f>
        <v/>
      </c>
      <c r="Q25" s="9" t="inlineStr"/>
      <c r="R25" s="10">
        <f>SUM(R24:R24)</f>
        <v/>
      </c>
      <c r="S25" s="10">
        <f>SUM(S24:S24)</f>
        <v/>
      </c>
      <c r="T25" s="9" t="inlineStr"/>
      <c r="U25" s="10">
        <f>SUM(U24:U24)</f>
        <v/>
      </c>
      <c r="V25" s="10">
        <f>SUM(V24:V24)</f>
        <v/>
      </c>
      <c r="W25" s="9" t="inlineStr"/>
      <c r="X25" s="10">
        <f>SUM(X24:X24)</f>
        <v/>
      </c>
      <c r="Y25" s="10">
        <f>SUM(Y24:Y24)</f>
        <v/>
      </c>
      <c r="Z25" s="9" t="inlineStr"/>
      <c r="AA25" s="10">
        <f>SUM(AA24:AA24)</f>
        <v/>
      </c>
      <c r="AB25" s="10">
        <f>SUM(AB24:AB24)</f>
        <v/>
      </c>
      <c r="AC25" s="9" t="inlineStr"/>
      <c r="AD25" s="10">
        <f>SUM(AD24:AD24)</f>
        <v/>
      </c>
      <c r="AE25" s="10">
        <f>SUM(AE24:AE24)</f>
        <v/>
      </c>
      <c r="AF25" s="9" t="inlineStr"/>
      <c r="AG25" s="10">
        <f>SUM(AG24:AG24)</f>
        <v/>
      </c>
      <c r="AH25" s="10">
        <f>SUM(AH24:AH24)</f>
        <v/>
      </c>
      <c r="AI25" s="9" t="inlineStr"/>
      <c r="AJ25" s="10">
        <f>SUM(AJ24:AJ24)</f>
        <v/>
      </c>
      <c r="AK25" s="10">
        <f>SUM(AK24:AK24)</f>
        <v/>
      </c>
      <c r="AL25" s="9" t="inlineStr"/>
      <c r="AM25" s="10">
        <f>SUM(AM24:AM24)</f>
        <v/>
      </c>
      <c r="AN25" s="10">
        <f>SUM(AN24:AN24)</f>
        <v/>
      </c>
      <c r="AO25" s="11">
        <f>SUM(AO24:AO24)</f>
        <v/>
      </c>
      <c r="AP25" s="10">
        <f>SUM(AP24:AP24)</f>
        <v/>
      </c>
      <c r="AQ25" s="10">
        <f>SUM(AQ24:AQ24)</f>
        <v/>
      </c>
      <c r="AR25" s="12">
        <f>IF(AP25&gt;0, AO25/AP25, 0)</f>
        <v/>
      </c>
      <c r="AS25" s="10">
        <f>IF(AR25&gt;=1.0, "Achieved", IF(AR25&gt;=0.75, "Good", IF(AR25&gt;=0.5, "Moderate", IF(AR25&gt;=0.25, "Low", "Critical"))))</f>
        <v/>
      </c>
      <c r="AT25" s="10" t="inlineStr">
        <is>
          <t>Driver</t>
        </is>
      </c>
      <c r="AU25" s="9" t="inlineStr"/>
      <c r="AV25" s="13">
        <f>AVERAGE(AV24:AV24)</f>
        <v/>
      </c>
    </row>
    <row r="26" ht="36" customHeight="1">
      <c r="A26" s="4" t="n">
        <v>16</v>
      </c>
      <c r="B26" s="4" t="inlineStr">
        <is>
          <t>41</t>
        </is>
      </c>
      <c r="C26" s="5" t="inlineStr">
        <is>
          <t>Radhalakshmi S</t>
        </is>
      </c>
      <c r="D26" s="4" t="inlineStr"/>
      <c r="E26" s="5" t="inlineStr"/>
      <c r="F26" s="4" t="inlineStr"/>
      <c r="G26" s="4" t="inlineStr"/>
      <c r="H26" s="5" t="inlineStr"/>
      <c r="I26" s="4" t="inlineStr"/>
      <c r="J26" s="4" t="inlineStr"/>
      <c r="K26" s="5" t="inlineStr"/>
      <c r="L26" s="4" t="inlineStr"/>
      <c r="M26" s="4" t="inlineStr"/>
      <c r="N26" s="5" t="inlineStr"/>
      <c r="O26" s="4" t="inlineStr"/>
      <c r="P26" s="4" t="inlineStr"/>
      <c r="Q26" s="5" t="inlineStr"/>
      <c r="R26" s="4" t="inlineStr"/>
      <c r="S26" s="4" t="inlineStr"/>
      <c r="T26" s="5" t="inlineStr"/>
      <c r="U26" s="4" t="inlineStr"/>
      <c r="V26" s="4" t="inlineStr"/>
      <c r="W26" s="5" t="inlineStr"/>
      <c r="X26" s="4" t="inlineStr"/>
      <c r="Y26" s="4" t="inlineStr"/>
      <c r="Z26" s="5" t="inlineStr"/>
      <c r="AA26" s="4" t="inlineStr"/>
      <c r="AB26" s="4" t="inlineStr"/>
      <c r="AC26" s="5" t="inlineStr"/>
      <c r="AD26" s="4" t="inlineStr"/>
      <c r="AE26" s="4" t="inlineStr"/>
      <c r="AF26" s="5" t="inlineStr"/>
      <c r="AG26" s="4" t="inlineStr"/>
      <c r="AH26" s="4" t="inlineStr"/>
      <c r="AI26" s="5" t="inlineStr"/>
      <c r="AJ26" s="4" t="inlineStr"/>
      <c r="AK26" s="4" t="inlineStr"/>
      <c r="AL26" s="5" t="inlineStr"/>
      <c r="AM26" s="4" t="inlineStr"/>
      <c r="AN26" s="4" t="inlineStr"/>
      <c r="AO26" s="5" t="n">
        <v>0</v>
      </c>
      <c r="AP26" s="4" t="n">
        <v>16</v>
      </c>
      <c r="AQ26" s="4" t="inlineStr">
        <is>
          <t>16.0 Hours Remaining</t>
        </is>
      </c>
      <c r="AR26" s="6" t="inlineStr">
        <is>
          <t>0.0%</t>
        </is>
      </c>
      <c r="AS26" s="7" t="inlineStr">
        <is>
          <t>Critical</t>
        </is>
      </c>
      <c r="AT26" s="4" t="inlineStr">
        <is>
          <t>HR</t>
        </is>
      </c>
      <c r="AU26" s="5" t="inlineStr">
        <is>
          <t>Manasa R</t>
        </is>
      </c>
      <c r="AV26" s="4" t="inlineStr">
        <is>
          <t>0.0%</t>
        </is>
      </c>
    </row>
    <row r="27" ht="36" customHeight="1">
      <c r="A27" s="4" t="n">
        <v>17</v>
      </c>
      <c r="B27" s="4" t="inlineStr">
        <is>
          <t>73</t>
        </is>
      </c>
      <c r="C27" s="5" t="inlineStr">
        <is>
          <t>P Nalini</t>
        </is>
      </c>
      <c r="D27" s="4" t="inlineStr"/>
      <c r="E27" s="5" t="inlineStr"/>
      <c r="F27" s="4" t="inlineStr"/>
      <c r="G27" s="4" t="inlineStr"/>
      <c r="H27" s="5" t="inlineStr"/>
      <c r="I27" s="4" t="inlineStr"/>
      <c r="J27" s="4" t="inlineStr"/>
      <c r="K27" s="5" t="inlineStr"/>
      <c r="L27" s="4" t="inlineStr"/>
      <c r="M27" s="4" t="inlineStr"/>
      <c r="N27" s="5" t="inlineStr"/>
      <c r="O27" s="4" t="inlineStr"/>
      <c r="P27" s="4" t="inlineStr"/>
      <c r="Q27" s="5" t="inlineStr"/>
      <c r="R27" s="4" t="inlineStr"/>
      <c r="S27" s="4" t="inlineStr"/>
      <c r="T27" s="5" t="inlineStr"/>
      <c r="U27" s="4" t="inlineStr"/>
      <c r="V27" s="4" t="inlineStr"/>
      <c r="W27" s="5" t="inlineStr"/>
      <c r="X27" s="4" t="inlineStr"/>
      <c r="Y27" s="4" t="inlineStr"/>
      <c r="Z27" s="5" t="inlineStr"/>
      <c r="AA27" s="4" t="inlineStr"/>
      <c r="AB27" s="4" t="inlineStr"/>
      <c r="AC27" s="5" t="inlineStr"/>
      <c r="AD27" s="4" t="inlineStr"/>
      <c r="AE27" s="4" t="inlineStr"/>
      <c r="AF27" s="5" t="inlineStr"/>
      <c r="AG27" s="4" t="inlineStr"/>
      <c r="AH27" s="4" t="inlineStr"/>
      <c r="AI27" s="5" t="inlineStr"/>
      <c r="AJ27" s="4" t="inlineStr"/>
      <c r="AK27" s="4" t="inlineStr"/>
      <c r="AL27" s="5" t="inlineStr"/>
      <c r="AM27" s="4" t="inlineStr"/>
      <c r="AN27" s="4" t="inlineStr"/>
      <c r="AO27" s="5" t="n">
        <v>0</v>
      </c>
      <c r="AP27" s="4" t="n">
        <v>16</v>
      </c>
      <c r="AQ27" s="4" t="inlineStr">
        <is>
          <t>16.0 Hours Remaining</t>
        </is>
      </c>
      <c r="AR27" s="6" t="inlineStr">
        <is>
          <t>0.0%</t>
        </is>
      </c>
      <c r="AS27" s="7" t="inlineStr">
        <is>
          <t>Critical</t>
        </is>
      </c>
      <c r="AT27" s="4" t="inlineStr">
        <is>
          <t>HR</t>
        </is>
      </c>
      <c r="AU27" s="5" t="inlineStr">
        <is>
          <t>Manasa R</t>
        </is>
      </c>
      <c r="AV27" s="4" t="inlineStr">
        <is>
          <t>0.0%</t>
        </is>
      </c>
    </row>
    <row r="28" ht="36" customHeight="1">
      <c r="A28" s="4" t="n">
        <v>18</v>
      </c>
      <c r="B28" s="4" t="inlineStr">
        <is>
          <t>74</t>
        </is>
      </c>
      <c r="C28" s="5" t="inlineStr">
        <is>
          <t>Manasa R</t>
        </is>
      </c>
      <c r="D28" s="4" t="inlineStr"/>
      <c r="E28" s="5" t="inlineStr"/>
      <c r="F28" s="4" t="inlineStr"/>
      <c r="G28" s="4" t="inlineStr"/>
      <c r="H28" s="5" t="inlineStr"/>
      <c r="I28" s="4" t="inlineStr"/>
      <c r="J28" s="4" t="inlineStr"/>
      <c r="K28" s="5" t="inlineStr"/>
      <c r="L28" s="4" t="inlineStr"/>
      <c r="M28" s="4" t="inlineStr"/>
      <c r="N28" s="5" t="inlineStr"/>
      <c r="O28" s="4" t="inlineStr"/>
      <c r="P28" s="4" t="inlineStr"/>
      <c r="Q28" s="5" t="inlineStr"/>
      <c r="R28" s="4" t="inlineStr"/>
      <c r="S28" s="4" t="inlineStr"/>
      <c r="T28" s="5" t="inlineStr"/>
      <c r="U28" s="4" t="inlineStr"/>
      <c r="V28" s="4" t="inlineStr"/>
      <c r="W28" s="5" t="inlineStr"/>
      <c r="X28" s="4" t="inlineStr"/>
      <c r="Y28" s="4" t="inlineStr"/>
      <c r="Z28" s="5" t="inlineStr"/>
      <c r="AA28" s="4" t="inlineStr"/>
      <c r="AB28" s="4" t="inlineStr"/>
      <c r="AC28" s="5" t="inlineStr"/>
      <c r="AD28" s="4" t="inlineStr"/>
      <c r="AE28" s="4" t="inlineStr"/>
      <c r="AF28" s="5" t="inlineStr"/>
      <c r="AG28" s="4" t="inlineStr"/>
      <c r="AH28" s="4" t="inlineStr"/>
      <c r="AI28" s="5" t="inlineStr"/>
      <c r="AJ28" s="4" t="inlineStr"/>
      <c r="AK28" s="4" t="inlineStr"/>
      <c r="AL28" s="5" t="inlineStr"/>
      <c r="AM28" s="4" t="inlineStr"/>
      <c r="AN28" s="4" t="inlineStr"/>
      <c r="AO28" s="5" t="n">
        <v>0</v>
      </c>
      <c r="AP28" s="4" t="n">
        <v>16</v>
      </c>
      <c r="AQ28" s="4" t="inlineStr">
        <is>
          <t>16.0 Hours Remaining</t>
        </is>
      </c>
      <c r="AR28" s="6" t="inlineStr">
        <is>
          <t>0.0%</t>
        </is>
      </c>
      <c r="AS28" s="7" t="inlineStr">
        <is>
          <t>Critical</t>
        </is>
      </c>
      <c r="AT28" s="4" t="inlineStr">
        <is>
          <t>HR</t>
        </is>
      </c>
      <c r="AU28" s="5" t="inlineStr">
        <is>
          <t>Prakash Padukhone Muthiah</t>
        </is>
      </c>
      <c r="AV28" s="4" t="inlineStr">
        <is>
          <t>0.0%</t>
        </is>
      </c>
    </row>
    <row r="29" ht="24" customHeight="1">
      <c r="A29" s="8" t="inlineStr"/>
      <c r="B29" s="8" t="inlineStr"/>
      <c r="C29" s="9" t="inlineStr">
        <is>
          <t>HR Subtotal</t>
        </is>
      </c>
      <c r="D29" s="8" t="inlineStr"/>
      <c r="E29" s="9" t="inlineStr"/>
      <c r="F29" s="10">
        <f>SUM(F26:F28)</f>
        <v/>
      </c>
      <c r="G29" s="10">
        <f>SUM(G26:G28)</f>
        <v/>
      </c>
      <c r="H29" s="9" t="inlineStr"/>
      <c r="I29" s="10">
        <f>SUM(I26:I28)</f>
        <v/>
      </c>
      <c r="J29" s="10">
        <f>SUM(J26:J28)</f>
        <v/>
      </c>
      <c r="K29" s="9" t="inlineStr"/>
      <c r="L29" s="10">
        <f>SUM(L26:L28)</f>
        <v/>
      </c>
      <c r="M29" s="10">
        <f>SUM(M26:M28)</f>
        <v/>
      </c>
      <c r="N29" s="9" t="inlineStr"/>
      <c r="O29" s="10">
        <f>SUM(O26:O28)</f>
        <v/>
      </c>
      <c r="P29" s="10">
        <f>SUM(P26:P28)</f>
        <v/>
      </c>
      <c r="Q29" s="9" t="inlineStr"/>
      <c r="R29" s="10">
        <f>SUM(R26:R28)</f>
        <v/>
      </c>
      <c r="S29" s="10">
        <f>SUM(S26:S28)</f>
        <v/>
      </c>
      <c r="T29" s="9" t="inlineStr"/>
      <c r="U29" s="10">
        <f>SUM(U26:U28)</f>
        <v/>
      </c>
      <c r="V29" s="10">
        <f>SUM(V26:V28)</f>
        <v/>
      </c>
      <c r="W29" s="9" t="inlineStr"/>
      <c r="X29" s="10">
        <f>SUM(X26:X28)</f>
        <v/>
      </c>
      <c r="Y29" s="10">
        <f>SUM(Y26:Y28)</f>
        <v/>
      </c>
      <c r="Z29" s="9" t="inlineStr"/>
      <c r="AA29" s="10">
        <f>SUM(AA26:AA28)</f>
        <v/>
      </c>
      <c r="AB29" s="10">
        <f>SUM(AB26:AB28)</f>
        <v/>
      </c>
      <c r="AC29" s="9" t="inlineStr"/>
      <c r="AD29" s="10">
        <f>SUM(AD26:AD28)</f>
        <v/>
      </c>
      <c r="AE29" s="10">
        <f>SUM(AE26:AE28)</f>
        <v/>
      </c>
      <c r="AF29" s="9" t="inlineStr"/>
      <c r="AG29" s="10">
        <f>SUM(AG26:AG28)</f>
        <v/>
      </c>
      <c r="AH29" s="10">
        <f>SUM(AH26:AH28)</f>
        <v/>
      </c>
      <c r="AI29" s="9" t="inlineStr"/>
      <c r="AJ29" s="10">
        <f>SUM(AJ26:AJ28)</f>
        <v/>
      </c>
      <c r="AK29" s="10">
        <f>SUM(AK26:AK28)</f>
        <v/>
      </c>
      <c r="AL29" s="9" t="inlineStr"/>
      <c r="AM29" s="10">
        <f>SUM(AM26:AM28)</f>
        <v/>
      </c>
      <c r="AN29" s="10">
        <f>SUM(AN26:AN28)</f>
        <v/>
      </c>
      <c r="AO29" s="11">
        <f>SUM(AO26:AO28)</f>
        <v/>
      </c>
      <c r="AP29" s="10">
        <f>SUM(AP26:AP28)</f>
        <v/>
      </c>
      <c r="AQ29" s="10">
        <f>SUM(AQ26:AQ28)</f>
        <v/>
      </c>
      <c r="AR29" s="12">
        <f>IF(AP29&gt;0, AO29/AP29, 0)</f>
        <v/>
      </c>
      <c r="AS29" s="10">
        <f>IF(AR29&gt;=1.0, "Achieved", IF(AR29&gt;=0.75, "Good", IF(AR29&gt;=0.5, "Moderate", IF(AR29&gt;=0.25, "Low", "Critical"))))</f>
        <v/>
      </c>
      <c r="AT29" s="10" t="inlineStr">
        <is>
          <t>HR</t>
        </is>
      </c>
      <c r="AU29" s="9" t="inlineStr"/>
      <c r="AV29" s="13">
        <f>AVERAGE(AV26:AV28)</f>
        <v/>
      </c>
    </row>
    <row r="30" ht="36" customHeight="1">
      <c r="A30" s="4" t="n">
        <v>19</v>
      </c>
      <c r="B30" s="4" t="inlineStr">
        <is>
          <t>017</t>
        </is>
      </c>
      <c r="C30" s="5" t="inlineStr">
        <is>
          <t>Saravana Hanumanthappa</t>
        </is>
      </c>
      <c r="D30" s="4" t="inlineStr"/>
      <c r="E30" s="5" t="inlineStr"/>
      <c r="F30" s="4" t="inlineStr"/>
      <c r="G30" s="4" t="inlineStr"/>
      <c r="H30" s="5" t="inlineStr"/>
      <c r="I30" s="4" t="inlineStr"/>
      <c r="J30" s="4" t="inlineStr"/>
      <c r="K30" s="5" t="inlineStr"/>
      <c r="L30" s="4" t="inlineStr"/>
      <c r="M30" s="4" t="inlineStr"/>
      <c r="N30" s="5" t="inlineStr"/>
      <c r="O30" s="4" t="inlineStr"/>
      <c r="P30" s="4" t="inlineStr"/>
      <c r="Q30" s="5" t="inlineStr"/>
      <c r="R30" s="4" t="inlineStr"/>
      <c r="S30" s="4" t="inlineStr"/>
      <c r="T30" s="5" t="inlineStr"/>
      <c r="U30" s="4" t="inlineStr"/>
      <c r="V30" s="4" t="inlineStr"/>
      <c r="W30" s="5" t="inlineStr"/>
      <c r="X30" s="4" t="inlineStr"/>
      <c r="Y30" s="4" t="inlineStr"/>
      <c r="Z30" s="5" t="inlineStr"/>
      <c r="AA30" s="4" t="inlineStr"/>
      <c r="AB30" s="4" t="inlineStr"/>
      <c r="AC30" s="5" t="inlineStr"/>
      <c r="AD30" s="4" t="inlineStr"/>
      <c r="AE30" s="4" t="inlineStr"/>
      <c r="AF30" s="5" t="inlineStr"/>
      <c r="AG30" s="4" t="inlineStr"/>
      <c r="AH30" s="4" t="inlineStr"/>
      <c r="AI30" s="5" t="inlineStr"/>
      <c r="AJ30" s="4" t="inlineStr"/>
      <c r="AK30" s="4" t="inlineStr"/>
      <c r="AL30" s="5" t="inlineStr"/>
      <c r="AM30" s="4" t="inlineStr"/>
      <c r="AN30" s="4" t="inlineStr"/>
      <c r="AO30" s="5" t="n">
        <v>0</v>
      </c>
      <c r="AP30" s="4" t="n">
        <v>16</v>
      </c>
      <c r="AQ30" s="4" t="inlineStr">
        <is>
          <t>16.0 Hours Remaining</t>
        </is>
      </c>
      <c r="AR30" s="6" t="inlineStr">
        <is>
          <t>0.0%</t>
        </is>
      </c>
      <c r="AS30" s="7" t="inlineStr">
        <is>
          <t>Critical</t>
        </is>
      </c>
      <c r="AT30" s="4" t="inlineStr">
        <is>
          <t>IT Support</t>
        </is>
      </c>
      <c r="AU30" s="5" t="inlineStr">
        <is>
          <t>Manasa R</t>
        </is>
      </c>
      <c r="AV30" s="4" t="inlineStr">
        <is>
          <t>0.0%</t>
        </is>
      </c>
    </row>
    <row r="31" ht="24" customHeight="1">
      <c r="A31" s="8" t="inlineStr"/>
      <c r="B31" s="8" t="inlineStr"/>
      <c r="C31" s="9" t="inlineStr">
        <is>
          <t>IT Support Subtotal</t>
        </is>
      </c>
      <c r="D31" s="8" t="inlineStr"/>
      <c r="E31" s="9" t="inlineStr"/>
      <c r="F31" s="10">
        <f>SUM(F30:F30)</f>
        <v/>
      </c>
      <c r="G31" s="10">
        <f>SUM(G30:G30)</f>
        <v/>
      </c>
      <c r="H31" s="9" t="inlineStr"/>
      <c r="I31" s="10">
        <f>SUM(I30:I30)</f>
        <v/>
      </c>
      <c r="J31" s="10">
        <f>SUM(J30:J30)</f>
        <v/>
      </c>
      <c r="K31" s="9" t="inlineStr"/>
      <c r="L31" s="10">
        <f>SUM(L30:L30)</f>
        <v/>
      </c>
      <c r="M31" s="10">
        <f>SUM(M30:M30)</f>
        <v/>
      </c>
      <c r="N31" s="9" t="inlineStr"/>
      <c r="O31" s="10">
        <f>SUM(O30:O30)</f>
        <v/>
      </c>
      <c r="P31" s="10">
        <f>SUM(P30:P30)</f>
        <v/>
      </c>
      <c r="Q31" s="9" t="inlineStr"/>
      <c r="R31" s="10">
        <f>SUM(R30:R30)</f>
        <v/>
      </c>
      <c r="S31" s="10">
        <f>SUM(S30:S30)</f>
        <v/>
      </c>
      <c r="T31" s="9" t="inlineStr"/>
      <c r="U31" s="10">
        <f>SUM(U30:U30)</f>
        <v/>
      </c>
      <c r="V31" s="10">
        <f>SUM(V30:V30)</f>
        <v/>
      </c>
      <c r="W31" s="9" t="inlineStr"/>
      <c r="X31" s="10">
        <f>SUM(X30:X30)</f>
        <v/>
      </c>
      <c r="Y31" s="10">
        <f>SUM(Y30:Y30)</f>
        <v/>
      </c>
      <c r="Z31" s="9" t="inlineStr"/>
      <c r="AA31" s="10">
        <f>SUM(AA30:AA30)</f>
        <v/>
      </c>
      <c r="AB31" s="10">
        <f>SUM(AB30:AB30)</f>
        <v/>
      </c>
      <c r="AC31" s="9" t="inlineStr"/>
      <c r="AD31" s="10">
        <f>SUM(AD30:AD30)</f>
        <v/>
      </c>
      <c r="AE31" s="10">
        <f>SUM(AE30:AE30)</f>
        <v/>
      </c>
      <c r="AF31" s="9" t="inlineStr"/>
      <c r="AG31" s="10">
        <f>SUM(AG30:AG30)</f>
        <v/>
      </c>
      <c r="AH31" s="10">
        <f>SUM(AH30:AH30)</f>
        <v/>
      </c>
      <c r="AI31" s="9" t="inlineStr"/>
      <c r="AJ31" s="10">
        <f>SUM(AJ30:AJ30)</f>
        <v/>
      </c>
      <c r="AK31" s="10">
        <f>SUM(AK30:AK30)</f>
        <v/>
      </c>
      <c r="AL31" s="9" t="inlineStr"/>
      <c r="AM31" s="10">
        <f>SUM(AM30:AM30)</f>
        <v/>
      </c>
      <c r="AN31" s="10">
        <f>SUM(AN30:AN30)</f>
        <v/>
      </c>
      <c r="AO31" s="11">
        <f>SUM(AO30:AO30)</f>
        <v/>
      </c>
      <c r="AP31" s="10">
        <f>SUM(AP30:AP30)</f>
        <v/>
      </c>
      <c r="AQ31" s="10">
        <f>SUM(AQ30:AQ30)</f>
        <v/>
      </c>
      <c r="AR31" s="12">
        <f>IF(AP31&gt;0, AO31/AP31, 0)</f>
        <v/>
      </c>
      <c r="AS31" s="10">
        <f>IF(AR31&gt;=1.0, "Achieved", IF(AR31&gt;=0.75, "Good", IF(AR31&gt;=0.5, "Moderate", IF(AR31&gt;=0.25, "Low", "Critical"))))</f>
        <v/>
      </c>
      <c r="AT31" s="10" t="inlineStr">
        <is>
          <t>IT Support</t>
        </is>
      </c>
      <c r="AU31" s="9" t="inlineStr"/>
      <c r="AV31" s="13">
        <f>AVERAGE(AV30:AV30)</f>
        <v/>
      </c>
    </row>
    <row r="32" ht="36" customHeight="1">
      <c r="A32" s="4" t="n">
        <v>20</v>
      </c>
      <c r="B32" s="4" t="inlineStr">
        <is>
          <t>021</t>
        </is>
      </c>
      <c r="C32" s="5" t="inlineStr">
        <is>
          <t>C Mohankumar</t>
        </is>
      </c>
      <c r="D32" s="4" t="inlineStr"/>
      <c r="E32" s="5" t="inlineStr"/>
      <c r="F32" s="4" t="inlineStr"/>
      <c r="G32" s="4" t="inlineStr"/>
      <c r="H32" s="5" t="inlineStr"/>
      <c r="I32" s="4" t="inlineStr"/>
      <c r="J32" s="4" t="inlineStr"/>
      <c r="K32" s="5" t="inlineStr"/>
      <c r="L32" s="4" t="inlineStr"/>
      <c r="M32" s="4" t="inlineStr"/>
      <c r="N32" s="5" t="inlineStr"/>
      <c r="O32" s="4" t="inlineStr"/>
      <c r="P32" s="4" t="inlineStr"/>
      <c r="Q32" s="5" t="inlineStr"/>
      <c r="R32" s="4" t="inlineStr"/>
      <c r="S32" s="4" t="inlineStr"/>
      <c r="T32" s="5" t="inlineStr"/>
      <c r="U32" s="4" t="inlineStr"/>
      <c r="V32" s="4" t="inlineStr"/>
      <c r="W32" s="5" t="inlineStr"/>
      <c r="X32" s="4" t="inlineStr"/>
      <c r="Y32" s="4" t="inlineStr"/>
      <c r="Z32" s="5" t="inlineStr"/>
      <c r="AA32" s="4" t="inlineStr"/>
      <c r="AB32" s="4" t="inlineStr"/>
      <c r="AC32" s="5" t="inlineStr"/>
      <c r="AD32" s="4" t="inlineStr"/>
      <c r="AE32" s="4" t="inlineStr"/>
      <c r="AF32" s="5" t="inlineStr"/>
      <c r="AG32" s="4" t="inlineStr"/>
      <c r="AH32" s="4" t="inlineStr"/>
      <c r="AI32" s="5" t="inlineStr"/>
      <c r="AJ32" s="4" t="inlineStr"/>
      <c r="AK32" s="4" t="inlineStr"/>
      <c r="AL32" s="5" t="inlineStr"/>
      <c r="AM32" s="4" t="inlineStr"/>
      <c r="AN32" s="4" t="inlineStr"/>
      <c r="AO32" s="5" t="n">
        <v>0</v>
      </c>
      <c r="AP32" s="4" t="n">
        <v>16</v>
      </c>
      <c r="AQ32" s="4" t="inlineStr">
        <is>
          <t>16.0 Hours Remaining</t>
        </is>
      </c>
      <c r="AR32" s="6" t="inlineStr">
        <is>
          <t>0.0%</t>
        </is>
      </c>
      <c r="AS32" s="7" t="inlineStr">
        <is>
          <t>Critical</t>
        </is>
      </c>
      <c r="AT32" s="4" t="inlineStr">
        <is>
          <t>Maintenance</t>
        </is>
      </c>
      <c r="AU32" s="5" t="inlineStr">
        <is>
          <t>Manasa R</t>
        </is>
      </c>
      <c r="AV32" s="4" t="inlineStr">
        <is>
          <t>0.0%</t>
        </is>
      </c>
    </row>
    <row r="33" ht="24" customHeight="1">
      <c r="A33" s="8" t="inlineStr"/>
      <c r="B33" s="8" t="inlineStr"/>
      <c r="C33" s="9" t="inlineStr">
        <is>
          <t>Maintenance Subtotal</t>
        </is>
      </c>
      <c r="D33" s="8" t="inlineStr"/>
      <c r="E33" s="9" t="inlineStr"/>
      <c r="F33" s="10">
        <f>SUM(F32:F32)</f>
        <v/>
      </c>
      <c r="G33" s="10">
        <f>SUM(G32:G32)</f>
        <v/>
      </c>
      <c r="H33" s="9" t="inlineStr"/>
      <c r="I33" s="10">
        <f>SUM(I32:I32)</f>
        <v/>
      </c>
      <c r="J33" s="10">
        <f>SUM(J32:J32)</f>
        <v/>
      </c>
      <c r="K33" s="9" t="inlineStr"/>
      <c r="L33" s="10">
        <f>SUM(L32:L32)</f>
        <v/>
      </c>
      <c r="M33" s="10">
        <f>SUM(M32:M32)</f>
        <v/>
      </c>
      <c r="N33" s="9" t="inlineStr"/>
      <c r="O33" s="10">
        <f>SUM(O32:O32)</f>
        <v/>
      </c>
      <c r="P33" s="10">
        <f>SUM(P32:P32)</f>
        <v/>
      </c>
      <c r="Q33" s="9" t="inlineStr"/>
      <c r="R33" s="10">
        <f>SUM(R32:R32)</f>
        <v/>
      </c>
      <c r="S33" s="10">
        <f>SUM(S32:S32)</f>
        <v/>
      </c>
      <c r="T33" s="9" t="inlineStr"/>
      <c r="U33" s="10">
        <f>SUM(U32:U32)</f>
        <v/>
      </c>
      <c r="V33" s="10">
        <f>SUM(V32:V32)</f>
        <v/>
      </c>
      <c r="W33" s="9" t="inlineStr"/>
      <c r="X33" s="10">
        <f>SUM(X32:X32)</f>
        <v/>
      </c>
      <c r="Y33" s="10">
        <f>SUM(Y32:Y32)</f>
        <v/>
      </c>
      <c r="Z33" s="9" t="inlineStr"/>
      <c r="AA33" s="10">
        <f>SUM(AA32:AA32)</f>
        <v/>
      </c>
      <c r="AB33" s="10">
        <f>SUM(AB32:AB32)</f>
        <v/>
      </c>
      <c r="AC33" s="9" t="inlineStr"/>
      <c r="AD33" s="10">
        <f>SUM(AD32:AD32)</f>
        <v/>
      </c>
      <c r="AE33" s="10">
        <f>SUM(AE32:AE32)</f>
        <v/>
      </c>
      <c r="AF33" s="9" t="inlineStr"/>
      <c r="AG33" s="10">
        <f>SUM(AG32:AG32)</f>
        <v/>
      </c>
      <c r="AH33" s="10">
        <f>SUM(AH32:AH32)</f>
        <v/>
      </c>
      <c r="AI33" s="9" t="inlineStr"/>
      <c r="AJ33" s="10">
        <f>SUM(AJ32:AJ32)</f>
        <v/>
      </c>
      <c r="AK33" s="10">
        <f>SUM(AK32:AK32)</f>
        <v/>
      </c>
      <c r="AL33" s="9" t="inlineStr"/>
      <c r="AM33" s="10">
        <f>SUM(AM32:AM32)</f>
        <v/>
      </c>
      <c r="AN33" s="10">
        <f>SUM(AN32:AN32)</f>
        <v/>
      </c>
      <c r="AO33" s="11">
        <f>SUM(AO32:AO32)</f>
        <v/>
      </c>
      <c r="AP33" s="10">
        <f>SUM(AP32:AP32)</f>
        <v/>
      </c>
      <c r="AQ33" s="10">
        <f>SUM(AQ32:AQ32)</f>
        <v/>
      </c>
      <c r="AR33" s="12">
        <f>IF(AP33&gt;0, AO33/AP33, 0)</f>
        <v/>
      </c>
      <c r="AS33" s="10">
        <f>IF(AR33&gt;=1.0, "Achieved", IF(AR33&gt;=0.75, "Good", IF(AR33&gt;=0.5, "Moderate", IF(AR33&gt;=0.25, "Low", "Critical"))))</f>
        <v/>
      </c>
      <c r="AT33" s="10" t="inlineStr">
        <is>
          <t>Maintenance</t>
        </is>
      </c>
      <c r="AU33" s="9" t="inlineStr"/>
      <c r="AV33" s="13">
        <f>AVERAGE(AV32:AV32)</f>
        <v/>
      </c>
    </row>
    <row r="34" ht="36" customHeight="1">
      <c r="A34" s="4" t="n">
        <v>21</v>
      </c>
      <c r="B34" s="4" t="inlineStr">
        <is>
          <t>MGR001</t>
        </is>
      </c>
      <c r="C34" s="5" t="inlineStr">
        <is>
          <t>Team Manager</t>
        </is>
      </c>
      <c r="D34" s="4" t="inlineStr"/>
      <c r="E34" s="5" t="inlineStr"/>
      <c r="F34" s="4" t="inlineStr"/>
      <c r="G34" s="4" t="inlineStr"/>
      <c r="H34" s="5" t="inlineStr"/>
      <c r="I34" s="4" t="inlineStr"/>
      <c r="J34" s="4" t="inlineStr"/>
      <c r="K34" s="5" t="inlineStr"/>
      <c r="L34" s="4" t="inlineStr"/>
      <c r="M34" s="4" t="inlineStr"/>
      <c r="N34" s="5" t="inlineStr"/>
      <c r="O34" s="4" t="inlineStr"/>
      <c r="P34" s="4" t="inlineStr"/>
      <c r="Q34" s="5" t="inlineStr"/>
      <c r="R34" s="4" t="inlineStr"/>
      <c r="S34" s="4" t="inlineStr"/>
      <c r="T34" s="5" t="inlineStr"/>
      <c r="U34" s="4" t="inlineStr"/>
      <c r="V34" s="4" t="inlineStr"/>
      <c r="W34" s="5" t="inlineStr"/>
      <c r="X34" s="4" t="inlineStr"/>
      <c r="Y34" s="4" t="inlineStr"/>
      <c r="Z34" s="5" t="inlineStr"/>
      <c r="AA34" s="4" t="inlineStr"/>
      <c r="AB34" s="4" t="inlineStr"/>
      <c r="AC34" s="5" t="inlineStr"/>
      <c r="AD34" s="4" t="inlineStr"/>
      <c r="AE34" s="4" t="inlineStr"/>
      <c r="AF34" s="5" t="inlineStr"/>
      <c r="AG34" s="4" t="inlineStr"/>
      <c r="AH34" s="4" t="inlineStr"/>
      <c r="AI34" s="5" t="inlineStr"/>
      <c r="AJ34" s="4" t="inlineStr"/>
      <c r="AK34" s="4" t="inlineStr"/>
      <c r="AL34" s="5" t="inlineStr"/>
      <c r="AM34" s="4" t="inlineStr"/>
      <c r="AN34" s="4" t="inlineStr"/>
      <c r="AO34" s="5" t="n">
        <v>0</v>
      </c>
      <c r="AP34" s="4" t="n">
        <v>16</v>
      </c>
      <c r="AQ34" s="4" t="inlineStr">
        <is>
          <t>16.0 Hours Remaining</t>
        </is>
      </c>
      <c r="AR34" s="6" t="inlineStr">
        <is>
          <t>0.0%</t>
        </is>
      </c>
      <c r="AS34" s="7" t="inlineStr">
        <is>
          <t>Critical</t>
        </is>
      </c>
      <c r="AT34" s="4" t="inlineStr">
        <is>
          <t>Management</t>
        </is>
      </c>
      <c r="AU34" s="5" t="inlineStr"/>
      <c r="AV34" s="4" t="inlineStr">
        <is>
          <t>0.0%</t>
        </is>
      </c>
    </row>
    <row r="35" ht="36" customHeight="1">
      <c r="A35" s="4" t="n">
        <v>22</v>
      </c>
      <c r="B35" s="4" t="inlineStr">
        <is>
          <t>SGS-KET</t>
        </is>
      </c>
      <c r="C35" s="5" t="inlineStr">
        <is>
          <t>Ketan BC</t>
        </is>
      </c>
      <c r="D35" s="4" t="inlineStr"/>
      <c r="E35" s="5" t="inlineStr"/>
      <c r="F35" s="4" t="inlineStr"/>
      <c r="G35" s="4" t="inlineStr"/>
      <c r="H35" s="5" t="inlineStr"/>
      <c r="I35" s="4" t="inlineStr"/>
      <c r="J35" s="4" t="inlineStr"/>
      <c r="K35" s="5" t="inlineStr"/>
      <c r="L35" s="4" t="inlineStr"/>
      <c r="M35" s="4" t="inlineStr"/>
      <c r="N35" s="5" t="inlineStr"/>
      <c r="O35" s="4" t="inlineStr"/>
      <c r="P35" s="4" t="inlineStr"/>
      <c r="Q35" s="5" t="inlineStr"/>
      <c r="R35" s="4" t="inlineStr"/>
      <c r="S35" s="4" t="inlineStr"/>
      <c r="T35" s="5" t="inlineStr"/>
      <c r="U35" s="4" t="inlineStr"/>
      <c r="V35" s="4" t="inlineStr"/>
      <c r="W35" s="5" t="inlineStr"/>
      <c r="X35" s="4" t="inlineStr"/>
      <c r="Y35" s="4" t="inlineStr"/>
      <c r="Z35" s="5" t="inlineStr"/>
      <c r="AA35" s="4" t="inlineStr"/>
      <c r="AB35" s="4" t="inlineStr"/>
      <c r="AC35" s="5" t="inlineStr"/>
      <c r="AD35" s="4" t="inlineStr"/>
      <c r="AE35" s="4" t="inlineStr"/>
      <c r="AF35" s="5" t="inlineStr"/>
      <c r="AG35" s="4" t="inlineStr"/>
      <c r="AH35" s="4" t="inlineStr"/>
      <c r="AI35" s="5" t="inlineStr"/>
      <c r="AJ35" s="4" t="inlineStr"/>
      <c r="AK35" s="4" t="inlineStr"/>
      <c r="AL35" s="5" t="inlineStr"/>
      <c r="AM35" s="4" t="inlineStr"/>
      <c r="AN35" s="4" t="inlineStr"/>
      <c r="AO35" s="5" t="n">
        <v>0</v>
      </c>
      <c r="AP35" s="4" t="n">
        <v>16</v>
      </c>
      <c r="AQ35" s="4" t="inlineStr">
        <is>
          <t>16.0 Hours Remaining</t>
        </is>
      </c>
      <c r="AR35" s="6" t="inlineStr">
        <is>
          <t>0.0%</t>
        </is>
      </c>
      <c r="AS35" s="7" t="inlineStr">
        <is>
          <t>Critical</t>
        </is>
      </c>
      <c r="AT35" s="4" t="inlineStr">
        <is>
          <t>Management</t>
        </is>
      </c>
      <c r="AU35" s="5" t="inlineStr">
        <is>
          <t>Team Manager</t>
        </is>
      </c>
      <c r="AV35" s="4" t="inlineStr">
        <is>
          <t>0.0%</t>
        </is>
      </c>
    </row>
    <row r="36" ht="36" customHeight="1">
      <c r="A36" s="4" t="n">
        <v>23</v>
      </c>
      <c r="B36" s="4" t="inlineStr">
        <is>
          <t>SGS-NIT</t>
        </is>
      </c>
      <c r="C36" s="5" t="inlineStr">
        <is>
          <t>Nitin R Patel</t>
        </is>
      </c>
      <c r="D36" s="4" t="inlineStr"/>
      <c r="E36" s="5" t="inlineStr"/>
      <c r="F36" s="4" t="inlineStr"/>
      <c r="G36" s="4" t="inlineStr"/>
      <c r="H36" s="5" t="inlineStr"/>
      <c r="I36" s="4" t="inlineStr"/>
      <c r="J36" s="4" t="inlineStr"/>
      <c r="K36" s="5" t="inlineStr"/>
      <c r="L36" s="4" t="inlineStr"/>
      <c r="M36" s="4" t="inlineStr"/>
      <c r="N36" s="5" t="inlineStr"/>
      <c r="O36" s="4" t="inlineStr"/>
      <c r="P36" s="4" t="inlineStr"/>
      <c r="Q36" s="5" t="inlineStr"/>
      <c r="R36" s="4" t="inlineStr"/>
      <c r="S36" s="4" t="inlineStr"/>
      <c r="T36" s="5" t="inlineStr"/>
      <c r="U36" s="4" t="inlineStr"/>
      <c r="V36" s="4" t="inlineStr"/>
      <c r="W36" s="5" t="inlineStr"/>
      <c r="X36" s="4" t="inlineStr"/>
      <c r="Y36" s="4" t="inlineStr"/>
      <c r="Z36" s="5" t="inlineStr"/>
      <c r="AA36" s="4" t="inlineStr"/>
      <c r="AB36" s="4" t="inlineStr"/>
      <c r="AC36" s="5" t="inlineStr"/>
      <c r="AD36" s="4" t="inlineStr"/>
      <c r="AE36" s="4" t="inlineStr"/>
      <c r="AF36" s="5" t="inlineStr"/>
      <c r="AG36" s="4" t="inlineStr"/>
      <c r="AH36" s="4" t="inlineStr"/>
      <c r="AI36" s="5" t="inlineStr"/>
      <c r="AJ36" s="4" t="inlineStr"/>
      <c r="AK36" s="4" t="inlineStr"/>
      <c r="AL36" s="5" t="inlineStr"/>
      <c r="AM36" s="4" t="inlineStr"/>
      <c r="AN36" s="4" t="inlineStr"/>
      <c r="AO36" s="5" t="n">
        <v>0</v>
      </c>
      <c r="AP36" s="4" t="n">
        <v>16</v>
      </c>
      <c r="AQ36" s="4" t="inlineStr">
        <is>
          <t>16.0 Hours Remaining</t>
        </is>
      </c>
      <c r="AR36" s="6" t="inlineStr">
        <is>
          <t>0.0%</t>
        </is>
      </c>
      <c r="AS36" s="7" t="inlineStr">
        <is>
          <t>Critical</t>
        </is>
      </c>
      <c r="AT36" s="4" t="inlineStr">
        <is>
          <t>Management</t>
        </is>
      </c>
      <c r="AU36" s="5" t="inlineStr">
        <is>
          <t>Team Manager</t>
        </is>
      </c>
      <c r="AV36" s="4" t="inlineStr">
        <is>
          <t>0.0%</t>
        </is>
      </c>
    </row>
    <row r="37" ht="24" customHeight="1">
      <c r="A37" s="8" t="inlineStr"/>
      <c r="B37" s="8" t="inlineStr"/>
      <c r="C37" s="9" t="inlineStr">
        <is>
          <t>Management Subtotal</t>
        </is>
      </c>
      <c r="D37" s="8" t="inlineStr"/>
      <c r="E37" s="9" t="inlineStr"/>
      <c r="F37" s="10">
        <f>SUM(F34:F36)</f>
        <v/>
      </c>
      <c r="G37" s="10">
        <f>SUM(G34:G36)</f>
        <v/>
      </c>
      <c r="H37" s="9" t="inlineStr"/>
      <c r="I37" s="10">
        <f>SUM(I34:I36)</f>
        <v/>
      </c>
      <c r="J37" s="10">
        <f>SUM(J34:J36)</f>
        <v/>
      </c>
      <c r="K37" s="9" t="inlineStr"/>
      <c r="L37" s="10">
        <f>SUM(L34:L36)</f>
        <v/>
      </c>
      <c r="M37" s="10">
        <f>SUM(M34:M36)</f>
        <v/>
      </c>
      <c r="N37" s="9" t="inlineStr"/>
      <c r="O37" s="10">
        <f>SUM(O34:O36)</f>
        <v/>
      </c>
      <c r="P37" s="10">
        <f>SUM(P34:P36)</f>
        <v/>
      </c>
      <c r="Q37" s="9" t="inlineStr"/>
      <c r="R37" s="10">
        <f>SUM(R34:R36)</f>
        <v/>
      </c>
      <c r="S37" s="10">
        <f>SUM(S34:S36)</f>
        <v/>
      </c>
      <c r="T37" s="9" t="inlineStr"/>
      <c r="U37" s="10">
        <f>SUM(U34:U36)</f>
        <v/>
      </c>
      <c r="V37" s="10">
        <f>SUM(V34:V36)</f>
        <v/>
      </c>
      <c r="W37" s="9" t="inlineStr"/>
      <c r="X37" s="10">
        <f>SUM(X34:X36)</f>
        <v/>
      </c>
      <c r="Y37" s="10">
        <f>SUM(Y34:Y36)</f>
        <v/>
      </c>
      <c r="Z37" s="9" t="inlineStr"/>
      <c r="AA37" s="10">
        <f>SUM(AA34:AA36)</f>
        <v/>
      </c>
      <c r="AB37" s="10">
        <f>SUM(AB34:AB36)</f>
        <v/>
      </c>
      <c r="AC37" s="9" t="inlineStr"/>
      <c r="AD37" s="10">
        <f>SUM(AD34:AD36)</f>
        <v/>
      </c>
      <c r="AE37" s="10">
        <f>SUM(AE34:AE36)</f>
        <v/>
      </c>
      <c r="AF37" s="9" t="inlineStr"/>
      <c r="AG37" s="10">
        <f>SUM(AG34:AG36)</f>
        <v/>
      </c>
      <c r="AH37" s="10">
        <f>SUM(AH34:AH36)</f>
        <v/>
      </c>
      <c r="AI37" s="9" t="inlineStr"/>
      <c r="AJ37" s="10">
        <f>SUM(AJ34:AJ36)</f>
        <v/>
      </c>
      <c r="AK37" s="10">
        <f>SUM(AK34:AK36)</f>
        <v/>
      </c>
      <c r="AL37" s="9" t="inlineStr"/>
      <c r="AM37" s="10">
        <f>SUM(AM34:AM36)</f>
        <v/>
      </c>
      <c r="AN37" s="10">
        <f>SUM(AN34:AN36)</f>
        <v/>
      </c>
      <c r="AO37" s="11">
        <f>SUM(AO34:AO36)</f>
        <v/>
      </c>
      <c r="AP37" s="10">
        <f>SUM(AP34:AP36)</f>
        <v/>
      </c>
      <c r="AQ37" s="10">
        <f>SUM(AQ34:AQ36)</f>
        <v/>
      </c>
      <c r="AR37" s="12">
        <f>IF(AP37&gt;0, AO37/AP37, 0)</f>
        <v/>
      </c>
      <c r="AS37" s="10">
        <f>IF(AR37&gt;=1.0, "Achieved", IF(AR37&gt;=0.75, "Good", IF(AR37&gt;=0.5, "Moderate", IF(AR37&gt;=0.25, "Low", "Critical"))))</f>
        <v/>
      </c>
      <c r="AT37" s="10" t="inlineStr">
        <is>
          <t>Management</t>
        </is>
      </c>
      <c r="AU37" s="9" t="inlineStr"/>
      <c r="AV37" s="13">
        <f>AVERAGE(AV34:AV36)</f>
        <v/>
      </c>
    </row>
    <row r="38" ht="36" customHeight="1">
      <c r="A38" s="4" t="n">
        <v>24</v>
      </c>
      <c r="B38" s="4" t="inlineStr">
        <is>
          <t>87</t>
        </is>
      </c>
      <c r="C38" s="5" t="inlineStr">
        <is>
          <t>Ankul Kumar</t>
        </is>
      </c>
      <c r="D38" s="4" t="inlineStr"/>
      <c r="E38" s="5" t="inlineStr"/>
      <c r="F38" s="4" t="inlineStr"/>
      <c r="G38" s="4" t="inlineStr"/>
      <c r="H38" s="5" t="inlineStr"/>
      <c r="I38" s="4" t="inlineStr"/>
      <c r="J38" s="4" t="inlineStr"/>
      <c r="K38" s="5" t="inlineStr"/>
      <c r="L38" s="4" t="inlineStr"/>
      <c r="M38" s="4" t="inlineStr"/>
      <c r="N38" s="5" t="inlineStr"/>
      <c r="O38" s="4" t="inlineStr"/>
      <c r="P38" s="4" t="inlineStr"/>
      <c r="Q38" s="5" t="inlineStr"/>
      <c r="R38" s="4" t="inlineStr"/>
      <c r="S38" s="4" t="inlineStr"/>
      <c r="T38" s="5" t="inlineStr"/>
      <c r="U38" s="4" t="inlineStr"/>
      <c r="V38" s="4" t="inlineStr"/>
      <c r="W38" s="5" t="inlineStr"/>
      <c r="X38" s="4" t="inlineStr"/>
      <c r="Y38" s="4" t="inlineStr"/>
      <c r="Z38" s="5" t="inlineStr"/>
      <c r="AA38" s="4" t="inlineStr"/>
      <c r="AB38" s="4" t="inlineStr"/>
      <c r="AC38" s="5" t="inlineStr"/>
      <c r="AD38" s="4" t="inlineStr"/>
      <c r="AE38" s="4" t="inlineStr"/>
      <c r="AF38" s="5" t="inlineStr"/>
      <c r="AG38" s="4" t="inlineStr"/>
      <c r="AH38" s="4" t="inlineStr"/>
      <c r="AI38" s="5" t="inlineStr"/>
      <c r="AJ38" s="4" t="inlineStr"/>
      <c r="AK38" s="4" t="inlineStr"/>
      <c r="AL38" s="5" t="inlineStr"/>
      <c r="AM38" s="4" t="inlineStr"/>
      <c r="AN38" s="4" t="inlineStr"/>
      <c r="AO38" s="5" t="n">
        <v>0</v>
      </c>
      <c r="AP38" s="4" t="n">
        <v>16</v>
      </c>
      <c r="AQ38" s="4" t="inlineStr">
        <is>
          <t>16.0 Hours Remaining</t>
        </is>
      </c>
      <c r="AR38" s="6" t="inlineStr">
        <is>
          <t>0.0%</t>
        </is>
      </c>
      <c r="AS38" s="7" t="inlineStr">
        <is>
          <t>Critical</t>
        </is>
      </c>
      <c r="AT38" s="4" t="inlineStr">
        <is>
          <t>Marketing</t>
        </is>
      </c>
      <c r="AU38" s="5" t="inlineStr">
        <is>
          <t>Prakash Padukhone Muthiah</t>
        </is>
      </c>
      <c r="AV38" s="4" t="inlineStr">
        <is>
          <t>0.0%</t>
        </is>
      </c>
    </row>
    <row r="39" ht="24" customHeight="1">
      <c r="A39" s="8" t="inlineStr"/>
      <c r="B39" s="8" t="inlineStr"/>
      <c r="C39" s="9" t="inlineStr">
        <is>
          <t>Marketing Subtotal</t>
        </is>
      </c>
      <c r="D39" s="8" t="inlineStr"/>
      <c r="E39" s="9" t="inlineStr"/>
      <c r="F39" s="10">
        <f>SUM(F38:F38)</f>
        <v/>
      </c>
      <c r="G39" s="10">
        <f>SUM(G38:G38)</f>
        <v/>
      </c>
      <c r="H39" s="9" t="inlineStr"/>
      <c r="I39" s="10">
        <f>SUM(I38:I38)</f>
        <v/>
      </c>
      <c r="J39" s="10">
        <f>SUM(J38:J38)</f>
        <v/>
      </c>
      <c r="K39" s="9" t="inlineStr"/>
      <c r="L39" s="10">
        <f>SUM(L38:L38)</f>
        <v/>
      </c>
      <c r="M39" s="10">
        <f>SUM(M38:M38)</f>
        <v/>
      </c>
      <c r="N39" s="9" t="inlineStr"/>
      <c r="O39" s="10">
        <f>SUM(O38:O38)</f>
        <v/>
      </c>
      <c r="P39" s="10">
        <f>SUM(P38:P38)</f>
        <v/>
      </c>
      <c r="Q39" s="9" t="inlineStr"/>
      <c r="R39" s="10">
        <f>SUM(R38:R38)</f>
        <v/>
      </c>
      <c r="S39" s="10">
        <f>SUM(S38:S38)</f>
        <v/>
      </c>
      <c r="T39" s="9" t="inlineStr"/>
      <c r="U39" s="10">
        <f>SUM(U38:U38)</f>
        <v/>
      </c>
      <c r="V39" s="10">
        <f>SUM(V38:V38)</f>
        <v/>
      </c>
      <c r="W39" s="9" t="inlineStr"/>
      <c r="X39" s="10">
        <f>SUM(X38:X38)</f>
        <v/>
      </c>
      <c r="Y39" s="10">
        <f>SUM(Y38:Y38)</f>
        <v/>
      </c>
      <c r="Z39" s="9" t="inlineStr"/>
      <c r="AA39" s="10">
        <f>SUM(AA38:AA38)</f>
        <v/>
      </c>
      <c r="AB39" s="10">
        <f>SUM(AB38:AB38)</f>
        <v/>
      </c>
      <c r="AC39" s="9" t="inlineStr"/>
      <c r="AD39" s="10">
        <f>SUM(AD38:AD38)</f>
        <v/>
      </c>
      <c r="AE39" s="10">
        <f>SUM(AE38:AE38)</f>
        <v/>
      </c>
      <c r="AF39" s="9" t="inlineStr"/>
      <c r="AG39" s="10">
        <f>SUM(AG38:AG38)</f>
        <v/>
      </c>
      <c r="AH39" s="10">
        <f>SUM(AH38:AH38)</f>
        <v/>
      </c>
      <c r="AI39" s="9" t="inlineStr"/>
      <c r="AJ39" s="10">
        <f>SUM(AJ38:AJ38)</f>
        <v/>
      </c>
      <c r="AK39" s="10">
        <f>SUM(AK38:AK38)</f>
        <v/>
      </c>
      <c r="AL39" s="9" t="inlineStr"/>
      <c r="AM39" s="10">
        <f>SUM(AM38:AM38)</f>
        <v/>
      </c>
      <c r="AN39" s="10">
        <f>SUM(AN38:AN38)</f>
        <v/>
      </c>
      <c r="AO39" s="11">
        <f>SUM(AO38:AO38)</f>
        <v/>
      </c>
      <c r="AP39" s="10">
        <f>SUM(AP38:AP38)</f>
        <v/>
      </c>
      <c r="AQ39" s="10">
        <f>SUM(AQ38:AQ38)</f>
        <v/>
      </c>
      <c r="AR39" s="12">
        <f>IF(AP39&gt;0, AO39/AP39, 0)</f>
        <v/>
      </c>
      <c r="AS39" s="10">
        <f>IF(AR39&gt;=1.0, "Achieved", IF(AR39&gt;=0.75, "Good", IF(AR39&gt;=0.5, "Moderate", IF(AR39&gt;=0.25, "Low", "Critical"))))</f>
        <v/>
      </c>
      <c r="AT39" s="10" t="inlineStr">
        <is>
          <t>Marketing</t>
        </is>
      </c>
      <c r="AU39" s="9" t="inlineStr"/>
      <c r="AV39" s="13">
        <f>AVERAGE(AV38:AV38)</f>
        <v/>
      </c>
    </row>
    <row r="40" ht="36" customHeight="1">
      <c r="A40" s="4" t="n">
        <v>25</v>
      </c>
      <c r="B40" s="4" t="inlineStr">
        <is>
          <t>007</t>
        </is>
      </c>
      <c r="C40" s="5" t="inlineStr">
        <is>
          <t>Naveenkumar M</t>
        </is>
      </c>
      <c r="D40" s="4" t="inlineStr"/>
      <c r="E40" s="5" t="inlineStr"/>
      <c r="F40" s="4" t="inlineStr"/>
      <c r="G40" s="4" t="inlineStr"/>
      <c r="H40" s="5" t="inlineStr"/>
      <c r="I40" s="4" t="inlineStr"/>
      <c r="J40" s="4" t="inlineStr"/>
      <c r="K40" s="5" t="inlineStr"/>
      <c r="L40" s="4" t="inlineStr"/>
      <c r="M40" s="4" t="inlineStr"/>
      <c r="N40" s="5" t="inlineStr"/>
      <c r="O40" s="4" t="inlineStr"/>
      <c r="P40" s="4" t="inlineStr"/>
      <c r="Q40" s="5" t="inlineStr"/>
      <c r="R40" s="4" t="inlineStr"/>
      <c r="S40" s="4" t="inlineStr"/>
      <c r="T40" s="5" t="inlineStr"/>
      <c r="U40" s="4" t="inlineStr"/>
      <c r="V40" s="4" t="inlineStr"/>
      <c r="W40" s="5" t="inlineStr"/>
      <c r="X40" s="4" t="inlineStr"/>
      <c r="Y40" s="4" t="inlineStr"/>
      <c r="Z40" s="5" t="inlineStr"/>
      <c r="AA40" s="4" t="inlineStr"/>
      <c r="AB40" s="4" t="inlineStr"/>
      <c r="AC40" s="5" t="inlineStr"/>
      <c r="AD40" s="4" t="inlineStr"/>
      <c r="AE40" s="4" t="inlineStr"/>
      <c r="AF40" s="5" t="inlineStr"/>
      <c r="AG40" s="4" t="inlineStr"/>
      <c r="AH40" s="4" t="inlineStr"/>
      <c r="AI40" s="5" t="inlineStr"/>
      <c r="AJ40" s="4" t="inlineStr"/>
      <c r="AK40" s="4" t="inlineStr"/>
      <c r="AL40" s="5" t="inlineStr"/>
      <c r="AM40" s="4" t="inlineStr"/>
      <c r="AN40" s="4" t="inlineStr"/>
      <c r="AO40" s="5" t="n">
        <v>0</v>
      </c>
      <c r="AP40" s="4" t="n">
        <v>16</v>
      </c>
      <c r="AQ40" s="4" t="inlineStr">
        <is>
          <t>16.0 Hours Remaining</t>
        </is>
      </c>
      <c r="AR40" s="6" t="inlineStr">
        <is>
          <t>0.0%</t>
        </is>
      </c>
      <c r="AS40" s="7" t="inlineStr">
        <is>
          <t>Critical</t>
        </is>
      </c>
      <c r="AT40" s="4" t="inlineStr">
        <is>
          <t>NPD</t>
        </is>
      </c>
      <c r="AU40" s="5" t="inlineStr">
        <is>
          <t>Prakash Padukhone Muthiah</t>
        </is>
      </c>
      <c r="AV40" s="4" t="inlineStr">
        <is>
          <t>0.0%</t>
        </is>
      </c>
    </row>
    <row r="41" ht="36" customHeight="1">
      <c r="A41" s="4" t="n">
        <v>26</v>
      </c>
      <c r="B41" s="4" t="inlineStr">
        <is>
          <t>025</t>
        </is>
      </c>
      <c r="C41" s="5" t="inlineStr">
        <is>
          <t>Nandhakumar G</t>
        </is>
      </c>
      <c r="D41" s="4" t="inlineStr"/>
      <c r="E41" s="5" t="inlineStr"/>
      <c r="F41" s="4" t="inlineStr"/>
      <c r="G41" s="4" t="inlineStr"/>
      <c r="H41" s="5" t="inlineStr"/>
      <c r="I41" s="4" t="inlineStr"/>
      <c r="J41" s="4" t="inlineStr"/>
      <c r="K41" s="5" t="inlineStr"/>
      <c r="L41" s="4" t="inlineStr"/>
      <c r="M41" s="4" t="inlineStr"/>
      <c r="N41" s="5" t="inlineStr"/>
      <c r="O41" s="4" t="inlineStr"/>
      <c r="P41" s="4" t="inlineStr"/>
      <c r="Q41" s="5" t="inlineStr"/>
      <c r="R41" s="4" t="inlineStr"/>
      <c r="S41" s="4" t="inlineStr"/>
      <c r="T41" s="5" t="inlineStr"/>
      <c r="U41" s="4" t="inlineStr"/>
      <c r="V41" s="4" t="inlineStr"/>
      <c r="W41" s="5" t="inlineStr"/>
      <c r="X41" s="4" t="inlineStr"/>
      <c r="Y41" s="4" t="inlineStr"/>
      <c r="Z41" s="5" t="inlineStr"/>
      <c r="AA41" s="4" t="inlineStr"/>
      <c r="AB41" s="4" t="inlineStr"/>
      <c r="AC41" s="5" t="inlineStr"/>
      <c r="AD41" s="4" t="inlineStr"/>
      <c r="AE41" s="4" t="inlineStr"/>
      <c r="AF41" s="5" t="inlineStr"/>
      <c r="AG41" s="4" t="inlineStr"/>
      <c r="AH41" s="4" t="inlineStr"/>
      <c r="AI41" s="5" t="inlineStr"/>
      <c r="AJ41" s="4" t="inlineStr"/>
      <c r="AK41" s="4" t="inlineStr"/>
      <c r="AL41" s="5" t="inlineStr"/>
      <c r="AM41" s="4" t="inlineStr"/>
      <c r="AN41" s="4" t="inlineStr"/>
      <c r="AO41" s="5" t="n">
        <v>0</v>
      </c>
      <c r="AP41" s="4" t="n">
        <v>16</v>
      </c>
      <c r="AQ41" s="4" t="inlineStr">
        <is>
          <t>16.0 Hours Remaining</t>
        </is>
      </c>
      <c r="AR41" s="6" t="inlineStr">
        <is>
          <t>0.0%</t>
        </is>
      </c>
      <c r="AS41" s="7" t="inlineStr">
        <is>
          <t>Critical</t>
        </is>
      </c>
      <c r="AT41" s="4" t="inlineStr">
        <is>
          <t>NPD</t>
        </is>
      </c>
      <c r="AU41" s="5" t="inlineStr">
        <is>
          <t>Naveenkumar M</t>
        </is>
      </c>
      <c r="AV41" s="4" t="inlineStr">
        <is>
          <t>0.0%</t>
        </is>
      </c>
    </row>
    <row r="42" ht="36" customHeight="1">
      <c r="A42" s="4" t="n">
        <v>27</v>
      </c>
      <c r="B42" s="4" t="inlineStr">
        <is>
          <t>104</t>
        </is>
      </c>
      <c r="C42" s="5" t="inlineStr">
        <is>
          <t>Naveenkumar Suresh</t>
        </is>
      </c>
      <c r="D42" s="4" t="inlineStr"/>
      <c r="E42" s="5" t="inlineStr"/>
      <c r="F42" s="4" t="inlineStr"/>
      <c r="G42" s="4" t="inlineStr"/>
      <c r="H42" s="5" t="inlineStr"/>
      <c r="I42" s="4" t="inlineStr"/>
      <c r="J42" s="4" t="inlineStr"/>
      <c r="K42" s="5" t="inlineStr"/>
      <c r="L42" s="4" t="inlineStr"/>
      <c r="M42" s="4" t="inlineStr"/>
      <c r="N42" s="5" t="inlineStr"/>
      <c r="O42" s="4" t="inlineStr"/>
      <c r="P42" s="4" t="inlineStr"/>
      <c r="Q42" s="5" t="inlineStr"/>
      <c r="R42" s="4" t="inlineStr"/>
      <c r="S42" s="4" t="inlineStr"/>
      <c r="T42" s="5" t="inlineStr"/>
      <c r="U42" s="4" t="inlineStr"/>
      <c r="V42" s="4" t="inlineStr"/>
      <c r="W42" s="5" t="inlineStr"/>
      <c r="X42" s="4" t="inlineStr"/>
      <c r="Y42" s="4" t="inlineStr"/>
      <c r="Z42" s="5" t="inlineStr"/>
      <c r="AA42" s="4" t="inlineStr"/>
      <c r="AB42" s="4" t="inlineStr"/>
      <c r="AC42" s="5" t="inlineStr"/>
      <c r="AD42" s="4" t="inlineStr"/>
      <c r="AE42" s="4" t="inlineStr"/>
      <c r="AF42" s="5" t="inlineStr"/>
      <c r="AG42" s="4" t="inlineStr"/>
      <c r="AH42" s="4" t="inlineStr"/>
      <c r="AI42" s="5" t="inlineStr"/>
      <c r="AJ42" s="4" t="inlineStr"/>
      <c r="AK42" s="4" t="inlineStr"/>
      <c r="AL42" s="5" t="inlineStr"/>
      <c r="AM42" s="4" t="inlineStr"/>
      <c r="AN42" s="4" t="inlineStr"/>
      <c r="AO42" s="5" t="n">
        <v>0</v>
      </c>
      <c r="AP42" s="4" t="n">
        <v>16</v>
      </c>
      <c r="AQ42" s="4" t="inlineStr">
        <is>
          <t>16.0 Hours Remaining</t>
        </is>
      </c>
      <c r="AR42" s="6" t="inlineStr">
        <is>
          <t>0.0%</t>
        </is>
      </c>
      <c r="AS42" s="7" t="inlineStr">
        <is>
          <t>Critical</t>
        </is>
      </c>
      <c r="AT42" s="4" t="inlineStr">
        <is>
          <t>NPD</t>
        </is>
      </c>
      <c r="AU42" s="5" t="inlineStr">
        <is>
          <t>Prakash Padukhone Muthiah</t>
        </is>
      </c>
      <c r="AV42" s="4" t="inlineStr">
        <is>
          <t>0.0%</t>
        </is>
      </c>
    </row>
    <row r="43" ht="36" customHeight="1">
      <c r="A43" s="4" t="n">
        <v>28</v>
      </c>
      <c r="B43" s="4" t="inlineStr">
        <is>
          <t>111</t>
        </is>
      </c>
      <c r="C43" s="5" t="inlineStr">
        <is>
          <t>Geetha Gowthaman</t>
        </is>
      </c>
      <c r="D43" s="4" t="inlineStr"/>
      <c r="E43" s="5" t="inlineStr"/>
      <c r="F43" s="4" t="inlineStr"/>
      <c r="G43" s="4" t="inlineStr"/>
      <c r="H43" s="5" t="inlineStr"/>
      <c r="I43" s="4" t="inlineStr"/>
      <c r="J43" s="4" t="inlineStr"/>
      <c r="K43" s="5" t="inlineStr"/>
      <c r="L43" s="4" t="inlineStr"/>
      <c r="M43" s="4" t="inlineStr"/>
      <c r="N43" s="5" t="inlineStr"/>
      <c r="O43" s="4" t="inlineStr"/>
      <c r="P43" s="4" t="inlineStr"/>
      <c r="Q43" s="5" t="inlineStr"/>
      <c r="R43" s="4" t="inlineStr"/>
      <c r="S43" s="4" t="inlineStr"/>
      <c r="T43" s="5" t="inlineStr"/>
      <c r="U43" s="4" t="inlineStr"/>
      <c r="V43" s="4" t="inlineStr"/>
      <c r="W43" s="5" t="inlineStr"/>
      <c r="X43" s="4" t="inlineStr"/>
      <c r="Y43" s="4" t="inlineStr"/>
      <c r="Z43" s="5" t="inlineStr"/>
      <c r="AA43" s="4" t="inlineStr"/>
      <c r="AB43" s="4" t="inlineStr"/>
      <c r="AC43" s="5" t="inlineStr"/>
      <c r="AD43" s="4" t="inlineStr"/>
      <c r="AE43" s="4" t="inlineStr"/>
      <c r="AF43" s="5" t="inlineStr"/>
      <c r="AG43" s="4" t="inlineStr"/>
      <c r="AH43" s="4" t="inlineStr"/>
      <c r="AI43" s="5" t="inlineStr"/>
      <c r="AJ43" s="4" t="inlineStr"/>
      <c r="AK43" s="4" t="inlineStr"/>
      <c r="AL43" s="5" t="inlineStr"/>
      <c r="AM43" s="4" t="inlineStr"/>
      <c r="AN43" s="4" t="inlineStr"/>
      <c r="AO43" s="5" t="n">
        <v>0</v>
      </c>
      <c r="AP43" s="4" t="n">
        <v>16</v>
      </c>
      <c r="AQ43" s="4" t="inlineStr">
        <is>
          <t>16.0 Hours Remaining</t>
        </is>
      </c>
      <c r="AR43" s="6" t="inlineStr">
        <is>
          <t>0.0%</t>
        </is>
      </c>
      <c r="AS43" s="7" t="inlineStr">
        <is>
          <t>Critical</t>
        </is>
      </c>
      <c r="AT43" s="4" t="inlineStr">
        <is>
          <t>NPD</t>
        </is>
      </c>
      <c r="AU43" s="5" t="inlineStr">
        <is>
          <t>R Rathina Kumar</t>
        </is>
      </c>
      <c r="AV43" s="4" t="inlineStr">
        <is>
          <t>0.0%</t>
        </is>
      </c>
    </row>
    <row r="44" ht="36" customHeight="1">
      <c r="A44" s="4" t="n">
        <v>29</v>
      </c>
      <c r="B44" s="4" t="inlineStr">
        <is>
          <t>52</t>
        </is>
      </c>
      <c r="C44" s="5" t="inlineStr">
        <is>
          <t>Santhoshkumar Saravanan</t>
        </is>
      </c>
      <c r="D44" s="4" t="inlineStr"/>
      <c r="E44" s="5" t="inlineStr"/>
      <c r="F44" s="4" t="inlineStr"/>
      <c r="G44" s="4" t="inlineStr"/>
      <c r="H44" s="5" t="inlineStr"/>
      <c r="I44" s="4" t="inlineStr"/>
      <c r="J44" s="4" t="inlineStr"/>
      <c r="K44" s="5" t="inlineStr"/>
      <c r="L44" s="4" t="inlineStr"/>
      <c r="M44" s="4" t="inlineStr"/>
      <c r="N44" s="5" t="inlineStr"/>
      <c r="O44" s="4" t="inlineStr"/>
      <c r="P44" s="4" t="inlineStr"/>
      <c r="Q44" s="5" t="inlineStr"/>
      <c r="R44" s="4" t="inlineStr"/>
      <c r="S44" s="4" t="inlineStr"/>
      <c r="T44" s="5" t="inlineStr"/>
      <c r="U44" s="4" t="inlineStr"/>
      <c r="V44" s="4" t="inlineStr"/>
      <c r="W44" s="5" t="inlineStr"/>
      <c r="X44" s="4" t="inlineStr"/>
      <c r="Y44" s="4" t="inlineStr"/>
      <c r="Z44" s="5" t="inlineStr"/>
      <c r="AA44" s="4" t="inlineStr"/>
      <c r="AB44" s="4" t="inlineStr"/>
      <c r="AC44" s="5" t="inlineStr"/>
      <c r="AD44" s="4" t="inlineStr"/>
      <c r="AE44" s="4" t="inlineStr"/>
      <c r="AF44" s="5" t="inlineStr"/>
      <c r="AG44" s="4" t="inlineStr"/>
      <c r="AH44" s="4" t="inlineStr"/>
      <c r="AI44" s="5" t="inlineStr"/>
      <c r="AJ44" s="4" t="inlineStr"/>
      <c r="AK44" s="4" t="inlineStr"/>
      <c r="AL44" s="5" t="inlineStr"/>
      <c r="AM44" s="4" t="inlineStr"/>
      <c r="AN44" s="4" t="inlineStr"/>
      <c r="AO44" s="5" t="n">
        <v>0</v>
      </c>
      <c r="AP44" s="4" t="n">
        <v>16</v>
      </c>
      <c r="AQ44" s="4" t="inlineStr">
        <is>
          <t>16.0 Hours Remaining</t>
        </is>
      </c>
      <c r="AR44" s="6" t="inlineStr">
        <is>
          <t>0.0%</t>
        </is>
      </c>
      <c r="AS44" s="7" t="inlineStr">
        <is>
          <t>Critical</t>
        </is>
      </c>
      <c r="AT44" s="4" t="inlineStr">
        <is>
          <t>NPD</t>
        </is>
      </c>
      <c r="AU44" s="5" t="inlineStr">
        <is>
          <t>Naveenkumar M</t>
        </is>
      </c>
      <c r="AV44" s="4" t="inlineStr">
        <is>
          <t>0.0%</t>
        </is>
      </c>
    </row>
    <row r="45" ht="36" customHeight="1">
      <c r="A45" s="4" t="n">
        <v>30</v>
      </c>
      <c r="B45" s="4" t="inlineStr">
        <is>
          <t>58</t>
        </is>
      </c>
      <c r="C45" s="5" t="inlineStr">
        <is>
          <t>P Santhosh Kumar</t>
        </is>
      </c>
      <c r="D45" s="4" t="inlineStr"/>
      <c r="E45" s="5" t="inlineStr"/>
      <c r="F45" s="4" t="inlineStr"/>
      <c r="G45" s="4" t="inlineStr"/>
      <c r="H45" s="5" t="inlineStr"/>
      <c r="I45" s="4" t="inlineStr"/>
      <c r="J45" s="4" t="inlineStr"/>
      <c r="K45" s="5" t="inlineStr"/>
      <c r="L45" s="4" t="inlineStr"/>
      <c r="M45" s="4" t="inlineStr"/>
      <c r="N45" s="5" t="inlineStr"/>
      <c r="O45" s="4" t="inlineStr"/>
      <c r="P45" s="4" t="inlineStr"/>
      <c r="Q45" s="5" t="inlineStr"/>
      <c r="R45" s="4" t="inlineStr"/>
      <c r="S45" s="4" t="inlineStr"/>
      <c r="T45" s="5" t="inlineStr"/>
      <c r="U45" s="4" t="inlineStr"/>
      <c r="V45" s="4" t="inlineStr"/>
      <c r="W45" s="5" t="inlineStr"/>
      <c r="X45" s="4" t="inlineStr"/>
      <c r="Y45" s="4" t="inlineStr"/>
      <c r="Z45" s="5" t="inlineStr"/>
      <c r="AA45" s="4" t="inlineStr"/>
      <c r="AB45" s="4" t="inlineStr"/>
      <c r="AC45" s="5" t="inlineStr"/>
      <c r="AD45" s="4" t="inlineStr"/>
      <c r="AE45" s="4" t="inlineStr"/>
      <c r="AF45" s="5" t="inlineStr"/>
      <c r="AG45" s="4" t="inlineStr"/>
      <c r="AH45" s="4" t="inlineStr"/>
      <c r="AI45" s="5" t="inlineStr"/>
      <c r="AJ45" s="4" t="inlineStr"/>
      <c r="AK45" s="4" t="inlineStr"/>
      <c r="AL45" s="5" t="inlineStr"/>
      <c r="AM45" s="4" t="inlineStr"/>
      <c r="AN45" s="4" t="inlineStr"/>
      <c r="AO45" s="5" t="n">
        <v>0</v>
      </c>
      <c r="AP45" s="4" t="n">
        <v>16</v>
      </c>
      <c r="AQ45" s="4" t="inlineStr">
        <is>
          <t>16.0 Hours Remaining</t>
        </is>
      </c>
      <c r="AR45" s="6" t="inlineStr">
        <is>
          <t>0.0%</t>
        </is>
      </c>
      <c r="AS45" s="7" t="inlineStr">
        <is>
          <t>Critical</t>
        </is>
      </c>
      <c r="AT45" s="4" t="inlineStr">
        <is>
          <t>NPD</t>
        </is>
      </c>
      <c r="AU45" s="5" t="inlineStr">
        <is>
          <t>R Rathina Kumar</t>
        </is>
      </c>
      <c r="AV45" s="4" t="inlineStr">
        <is>
          <t>0.0%</t>
        </is>
      </c>
    </row>
    <row r="46" ht="36" customHeight="1">
      <c r="A46" s="4" t="n">
        <v>31</v>
      </c>
      <c r="B46" s="4" t="inlineStr">
        <is>
          <t>75</t>
        </is>
      </c>
      <c r="C46" s="5" t="inlineStr">
        <is>
          <t>Samir Vekariya</t>
        </is>
      </c>
      <c r="D46" s="4" t="inlineStr"/>
      <c r="E46" s="5" t="inlineStr"/>
      <c r="F46" s="4" t="inlineStr"/>
      <c r="G46" s="4" t="inlineStr"/>
      <c r="H46" s="5" t="inlineStr"/>
      <c r="I46" s="4" t="inlineStr"/>
      <c r="J46" s="4" t="inlineStr"/>
      <c r="K46" s="5" t="inlineStr"/>
      <c r="L46" s="4" t="inlineStr"/>
      <c r="M46" s="4" t="inlineStr"/>
      <c r="N46" s="5" t="inlineStr"/>
      <c r="O46" s="4" t="inlineStr"/>
      <c r="P46" s="4" t="inlineStr"/>
      <c r="Q46" s="5" t="inlineStr"/>
      <c r="R46" s="4" t="inlineStr"/>
      <c r="S46" s="4" t="inlineStr"/>
      <c r="T46" s="5" t="inlineStr"/>
      <c r="U46" s="4" t="inlineStr"/>
      <c r="V46" s="4" t="inlineStr"/>
      <c r="W46" s="5" t="inlineStr"/>
      <c r="X46" s="4" t="inlineStr"/>
      <c r="Y46" s="4" t="inlineStr"/>
      <c r="Z46" s="5" t="inlineStr"/>
      <c r="AA46" s="4" t="inlineStr"/>
      <c r="AB46" s="4" t="inlineStr"/>
      <c r="AC46" s="5" t="inlineStr"/>
      <c r="AD46" s="4" t="inlineStr"/>
      <c r="AE46" s="4" t="inlineStr"/>
      <c r="AF46" s="5" t="inlineStr"/>
      <c r="AG46" s="4" t="inlineStr"/>
      <c r="AH46" s="4" t="inlineStr"/>
      <c r="AI46" s="5" t="inlineStr"/>
      <c r="AJ46" s="4" t="inlineStr"/>
      <c r="AK46" s="4" t="inlineStr"/>
      <c r="AL46" s="5" t="inlineStr"/>
      <c r="AM46" s="4" t="inlineStr"/>
      <c r="AN46" s="4" t="inlineStr"/>
      <c r="AO46" s="5" t="n">
        <v>0</v>
      </c>
      <c r="AP46" s="4" t="n">
        <v>16</v>
      </c>
      <c r="AQ46" s="4" t="inlineStr">
        <is>
          <t>16.0 Hours Remaining</t>
        </is>
      </c>
      <c r="AR46" s="6" t="inlineStr">
        <is>
          <t>0.0%</t>
        </is>
      </c>
      <c r="AS46" s="7" t="inlineStr">
        <is>
          <t>Critical</t>
        </is>
      </c>
      <c r="AT46" s="4" t="inlineStr">
        <is>
          <t>NPD</t>
        </is>
      </c>
      <c r="AU46" s="5" t="inlineStr">
        <is>
          <t>R Rathina Kumar</t>
        </is>
      </c>
      <c r="AV46" s="4" t="inlineStr">
        <is>
          <t>0.0%</t>
        </is>
      </c>
    </row>
    <row r="47" ht="36" customHeight="1">
      <c r="A47" s="4" t="n">
        <v>32</v>
      </c>
      <c r="B47" s="4" t="inlineStr">
        <is>
          <t>76</t>
        </is>
      </c>
      <c r="C47" s="5" t="inlineStr">
        <is>
          <t>R Rathina Kumar</t>
        </is>
      </c>
      <c r="D47" s="4" t="inlineStr"/>
      <c r="E47" s="5" t="inlineStr"/>
      <c r="F47" s="4" t="inlineStr"/>
      <c r="G47" s="4" t="inlineStr"/>
      <c r="H47" s="5" t="inlineStr"/>
      <c r="I47" s="4" t="inlineStr"/>
      <c r="J47" s="4" t="inlineStr"/>
      <c r="K47" s="5" t="inlineStr"/>
      <c r="L47" s="4" t="inlineStr"/>
      <c r="M47" s="4" t="inlineStr"/>
      <c r="N47" s="5" t="inlineStr"/>
      <c r="O47" s="4" t="inlineStr"/>
      <c r="P47" s="4" t="inlineStr"/>
      <c r="Q47" s="5" t="inlineStr"/>
      <c r="R47" s="4" t="inlineStr"/>
      <c r="S47" s="4" t="inlineStr"/>
      <c r="T47" s="5" t="inlineStr"/>
      <c r="U47" s="4" t="inlineStr"/>
      <c r="V47" s="4" t="inlineStr"/>
      <c r="W47" s="5" t="inlineStr"/>
      <c r="X47" s="4" t="inlineStr"/>
      <c r="Y47" s="4" t="inlineStr"/>
      <c r="Z47" s="5" t="inlineStr"/>
      <c r="AA47" s="4" t="inlineStr"/>
      <c r="AB47" s="4" t="inlineStr"/>
      <c r="AC47" s="5" t="inlineStr"/>
      <c r="AD47" s="4" t="inlineStr"/>
      <c r="AE47" s="4" t="inlineStr"/>
      <c r="AF47" s="5" t="inlineStr"/>
      <c r="AG47" s="4" t="inlineStr"/>
      <c r="AH47" s="4" t="inlineStr"/>
      <c r="AI47" s="5" t="inlineStr"/>
      <c r="AJ47" s="4" t="inlineStr"/>
      <c r="AK47" s="4" t="inlineStr"/>
      <c r="AL47" s="5" t="inlineStr"/>
      <c r="AM47" s="4" t="inlineStr"/>
      <c r="AN47" s="4" t="inlineStr"/>
      <c r="AO47" s="5" t="n">
        <v>0</v>
      </c>
      <c r="AP47" s="4" t="n">
        <v>16</v>
      </c>
      <c r="AQ47" s="4" t="inlineStr">
        <is>
          <t>16.0 Hours Remaining</t>
        </is>
      </c>
      <c r="AR47" s="6" t="inlineStr">
        <is>
          <t>0.0%</t>
        </is>
      </c>
      <c r="AS47" s="7" t="inlineStr">
        <is>
          <t>Critical</t>
        </is>
      </c>
      <c r="AT47" s="4" t="inlineStr">
        <is>
          <t>NPD</t>
        </is>
      </c>
      <c r="AU47" s="5" t="inlineStr">
        <is>
          <t>Ketan BC</t>
        </is>
      </c>
      <c r="AV47" s="4" t="inlineStr">
        <is>
          <t>0.0%</t>
        </is>
      </c>
    </row>
    <row r="48" ht="36" customHeight="1">
      <c r="A48" s="4" t="n">
        <v>33</v>
      </c>
      <c r="B48" s="4" t="inlineStr">
        <is>
          <t>93</t>
        </is>
      </c>
      <c r="C48" s="5" t="inlineStr">
        <is>
          <t>Pranav P A</t>
        </is>
      </c>
      <c r="D48" s="4" t="inlineStr"/>
      <c r="E48" s="5" t="inlineStr"/>
      <c r="F48" s="4" t="inlineStr"/>
      <c r="G48" s="4" t="inlineStr"/>
      <c r="H48" s="5" t="inlineStr"/>
      <c r="I48" s="4" t="inlineStr"/>
      <c r="J48" s="4" t="inlineStr"/>
      <c r="K48" s="5" t="inlineStr"/>
      <c r="L48" s="4" t="inlineStr"/>
      <c r="M48" s="4" t="inlineStr"/>
      <c r="N48" s="5" t="inlineStr"/>
      <c r="O48" s="4" t="inlineStr"/>
      <c r="P48" s="4" t="inlineStr"/>
      <c r="Q48" s="5" t="inlineStr"/>
      <c r="R48" s="4" t="inlineStr"/>
      <c r="S48" s="4" t="inlineStr"/>
      <c r="T48" s="5" t="inlineStr"/>
      <c r="U48" s="4" t="inlineStr"/>
      <c r="V48" s="4" t="inlineStr"/>
      <c r="W48" s="5" t="inlineStr"/>
      <c r="X48" s="4" t="inlineStr"/>
      <c r="Y48" s="4" t="inlineStr"/>
      <c r="Z48" s="5" t="inlineStr"/>
      <c r="AA48" s="4" t="inlineStr"/>
      <c r="AB48" s="4" t="inlineStr"/>
      <c r="AC48" s="5" t="inlineStr"/>
      <c r="AD48" s="4" t="inlineStr"/>
      <c r="AE48" s="4" t="inlineStr"/>
      <c r="AF48" s="5" t="inlineStr"/>
      <c r="AG48" s="4" t="inlineStr"/>
      <c r="AH48" s="4" t="inlineStr"/>
      <c r="AI48" s="5" t="inlineStr"/>
      <c r="AJ48" s="4" t="inlineStr"/>
      <c r="AK48" s="4" t="inlineStr"/>
      <c r="AL48" s="5" t="inlineStr"/>
      <c r="AM48" s="4" t="inlineStr"/>
      <c r="AN48" s="4" t="inlineStr"/>
      <c r="AO48" s="5" t="n">
        <v>0</v>
      </c>
      <c r="AP48" s="4" t="n">
        <v>16</v>
      </c>
      <c r="AQ48" s="4" t="inlineStr">
        <is>
          <t>16.0 Hours Remaining</t>
        </is>
      </c>
      <c r="AR48" s="6" t="inlineStr">
        <is>
          <t>0.0%</t>
        </is>
      </c>
      <c r="AS48" s="7" t="inlineStr">
        <is>
          <t>Critical</t>
        </is>
      </c>
      <c r="AT48" s="4" t="inlineStr">
        <is>
          <t>NPD</t>
        </is>
      </c>
      <c r="AU48" s="5" t="inlineStr">
        <is>
          <t>R Rathina Kumar</t>
        </is>
      </c>
      <c r="AV48" s="4" t="inlineStr">
        <is>
          <t>0.0%</t>
        </is>
      </c>
    </row>
    <row r="49" ht="24" customHeight="1">
      <c r="A49" s="8" t="inlineStr"/>
      <c r="B49" s="8" t="inlineStr"/>
      <c r="C49" s="9" t="inlineStr">
        <is>
          <t>NPD Subtotal</t>
        </is>
      </c>
      <c r="D49" s="8" t="inlineStr"/>
      <c r="E49" s="9" t="inlineStr"/>
      <c r="F49" s="10">
        <f>SUM(F40:F48)</f>
        <v/>
      </c>
      <c r="G49" s="10">
        <f>SUM(G40:G48)</f>
        <v/>
      </c>
      <c r="H49" s="9" t="inlineStr"/>
      <c r="I49" s="10">
        <f>SUM(I40:I48)</f>
        <v/>
      </c>
      <c r="J49" s="10">
        <f>SUM(J40:J48)</f>
        <v/>
      </c>
      <c r="K49" s="9" t="inlineStr"/>
      <c r="L49" s="10">
        <f>SUM(L40:L48)</f>
        <v/>
      </c>
      <c r="M49" s="10">
        <f>SUM(M40:M48)</f>
        <v/>
      </c>
      <c r="N49" s="9" t="inlineStr"/>
      <c r="O49" s="10">
        <f>SUM(O40:O48)</f>
        <v/>
      </c>
      <c r="P49" s="10">
        <f>SUM(P40:P48)</f>
        <v/>
      </c>
      <c r="Q49" s="9" t="inlineStr"/>
      <c r="R49" s="10">
        <f>SUM(R40:R48)</f>
        <v/>
      </c>
      <c r="S49" s="10">
        <f>SUM(S40:S48)</f>
        <v/>
      </c>
      <c r="T49" s="9" t="inlineStr"/>
      <c r="U49" s="10">
        <f>SUM(U40:U48)</f>
        <v/>
      </c>
      <c r="V49" s="10">
        <f>SUM(V40:V48)</f>
        <v/>
      </c>
      <c r="W49" s="9" t="inlineStr"/>
      <c r="X49" s="10">
        <f>SUM(X40:X48)</f>
        <v/>
      </c>
      <c r="Y49" s="10">
        <f>SUM(Y40:Y48)</f>
        <v/>
      </c>
      <c r="Z49" s="9" t="inlineStr"/>
      <c r="AA49" s="10">
        <f>SUM(AA40:AA48)</f>
        <v/>
      </c>
      <c r="AB49" s="10">
        <f>SUM(AB40:AB48)</f>
        <v/>
      </c>
      <c r="AC49" s="9" t="inlineStr"/>
      <c r="AD49" s="10">
        <f>SUM(AD40:AD48)</f>
        <v/>
      </c>
      <c r="AE49" s="10">
        <f>SUM(AE40:AE48)</f>
        <v/>
      </c>
      <c r="AF49" s="9" t="inlineStr"/>
      <c r="AG49" s="10">
        <f>SUM(AG40:AG48)</f>
        <v/>
      </c>
      <c r="AH49" s="10">
        <f>SUM(AH40:AH48)</f>
        <v/>
      </c>
      <c r="AI49" s="9" t="inlineStr"/>
      <c r="AJ49" s="10">
        <f>SUM(AJ40:AJ48)</f>
        <v/>
      </c>
      <c r="AK49" s="10">
        <f>SUM(AK40:AK48)</f>
        <v/>
      </c>
      <c r="AL49" s="9" t="inlineStr"/>
      <c r="AM49" s="10">
        <f>SUM(AM40:AM48)</f>
        <v/>
      </c>
      <c r="AN49" s="10">
        <f>SUM(AN40:AN48)</f>
        <v/>
      </c>
      <c r="AO49" s="11">
        <f>SUM(AO40:AO48)</f>
        <v/>
      </c>
      <c r="AP49" s="10">
        <f>SUM(AP40:AP48)</f>
        <v/>
      </c>
      <c r="AQ49" s="10">
        <f>SUM(AQ40:AQ48)</f>
        <v/>
      </c>
      <c r="AR49" s="12">
        <f>IF(AP49&gt;0, AO49/AP49, 0)</f>
        <v/>
      </c>
      <c r="AS49" s="10">
        <f>IF(AR49&gt;=1.0, "Achieved", IF(AR49&gt;=0.75, "Good", IF(AR49&gt;=0.5, "Moderate", IF(AR49&gt;=0.25, "Low", "Critical"))))</f>
        <v/>
      </c>
      <c r="AT49" s="10" t="inlineStr">
        <is>
          <t>NPD</t>
        </is>
      </c>
      <c r="AU49" s="9" t="inlineStr"/>
      <c r="AV49" s="13">
        <f>AVERAGE(AV40:AV48)</f>
        <v/>
      </c>
    </row>
    <row r="50" ht="36" customHeight="1">
      <c r="A50" s="4" t="n">
        <v>34</v>
      </c>
      <c r="B50" s="4" t="inlineStr">
        <is>
          <t>DUMMY-PRAKASH</t>
        </is>
      </c>
      <c r="C50" s="5" t="inlineStr">
        <is>
          <t>Prakash Padukhone Muthiah</t>
        </is>
      </c>
      <c r="D50" s="4" t="inlineStr"/>
      <c r="E50" s="5" t="inlineStr"/>
      <c r="F50" s="4" t="inlineStr"/>
      <c r="G50" s="4" t="inlineStr"/>
      <c r="H50" s="5" t="inlineStr"/>
      <c r="I50" s="4" t="inlineStr"/>
      <c r="J50" s="4" t="inlineStr"/>
      <c r="K50" s="5" t="inlineStr"/>
      <c r="L50" s="4" t="inlineStr"/>
      <c r="M50" s="4" t="inlineStr"/>
      <c r="N50" s="5" t="inlineStr"/>
      <c r="O50" s="4" t="inlineStr"/>
      <c r="P50" s="4" t="inlineStr"/>
      <c r="Q50" s="5" t="inlineStr"/>
      <c r="R50" s="4" t="inlineStr"/>
      <c r="S50" s="4" t="inlineStr"/>
      <c r="T50" s="5" t="inlineStr"/>
      <c r="U50" s="4" t="inlineStr"/>
      <c r="V50" s="4" t="inlineStr"/>
      <c r="W50" s="5" t="inlineStr"/>
      <c r="X50" s="4" t="inlineStr"/>
      <c r="Y50" s="4" t="inlineStr"/>
      <c r="Z50" s="5" t="inlineStr"/>
      <c r="AA50" s="4" t="inlineStr"/>
      <c r="AB50" s="4" t="inlineStr"/>
      <c r="AC50" s="5" t="inlineStr"/>
      <c r="AD50" s="4" t="inlineStr"/>
      <c r="AE50" s="4" t="inlineStr"/>
      <c r="AF50" s="5" t="inlineStr"/>
      <c r="AG50" s="4" t="inlineStr"/>
      <c r="AH50" s="4" t="inlineStr"/>
      <c r="AI50" s="5" t="inlineStr"/>
      <c r="AJ50" s="4" t="inlineStr"/>
      <c r="AK50" s="4" t="inlineStr"/>
      <c r="AL50" s="5" t="inlineStr"/>
      <c r="AM50" s="4" t="inlineStr"/>
      <c r="AN50" s="4" t="inlineStr"/>
      <c r="AO50" s="5" t="n">
        <v>0</v>
      </c>
      <c r="AP50" s="4" t="n">
        <v>16</v>
      </c>
      <c r="AQ50" s="4" t="inlineStr">
        <is>
          <t>16.0 Hours Remaining</t>
        </is>
      </c>
      <c r="AR50" s="6" t="inlineStr">
        <is>
          <t>0.0%</t>
        </is>
      </c>
      <c r="AS50" s="7" t="inlineStr">
        <is>
          <t>Critical</t>
        </is>
      </c>
      <c r="AT50" s="4" t="inlineStr">
        <is>
          <t>Operations</t>
        </is>
      </c>
      <c r="AU50" s="5" t="inlineStr">
        <is>
          <t>Nitin R Patel</t>
        </is>
      </c>
      <c r="AV50" s="4" t="inlineStr">
        <is>
          <t>0.0%</t>
        </is>
      </c>
    </row>
    <row r="51" ht="24" customHeight="1">
      <c r="A51" s="8" t="inlineStr"/>
      <c r="B51" s="8" t="inlineStr"/>
      <c r="C51" s="9" t="inlineStr">
        <is>
          <t>Operations Subtotal</t>
        </is>
      </c>
      <c r="D51" s="8" t="inlineStr"/>
      <c r="E51" s="9" t="inlineStr"/>
      <c r="F51" s="10">
        <f>SUM(F50:F50)</f>
        <v/>
      </c>
      <c r="G51" s="10">
        <f>SUM(G50:G50)</f>
        <v/>
      </c>
      <c r="H51" s="9" t="inlineStr"/>
      <c r="I51" s="10">
        <f>SUM(I50:I50)</f>
        <v/>
      </c>
      <c r="J51" s="10">
        <f>SUM(J50:J50)</f>
        <v/>
      </c>
      <c r="K51" s="9" t="inlineStr"/>
      <c r="L51" s="10">
        <f>SUM(L50:L50)</f>
        <v/>
      </c>
      <c r="M51" s="10">
        <f>SUM(M50:M50)</f>
        <v/>
      </c>
      <c r="N51" s="9" t="inlineStr"/>
      <c r="O51" s="10">
        <f>SUM(O50:O50)</f>
        <v/>
      </c>
      <c r="P51" s="10">
        <f>SUM(P50:P50)</f>
        <v/>
      </c>
      <c r="Q51" s="9" t="inlineStr"/>
      <c r="R51" s="10">
        <f>SUM(R50:R50)</f>
        <v/>
      </c>
      <c r="S51" s="10">
        <f>SUM(S50:S50)</f>
        <v/>
      </c>
      <c r="T51" s="9" t="inlineStr"/>
      <c r="U51" s="10">
        <f>SUM(U50:U50)</f>
        <v/>
      </c>
      <c r="V51" s="10">
        <f>SUM(V50:V50)</f>
        <v/>
      </c>
      <c r="W51" s="9" t="inlineStr"/>
      <c r="X51" s="10">
        <f>SUM(X50:X50)</f>
        <v/>
      </c>
      <c r="Y51" s="10">
        <f>SUM(Y50:Y50)</f>
        <v/>
      </c>
      <c r="Z51" s="9" t="inlineStr"/>
      <c r="AA51" s="10">
        <f>SUM(AA50:AA50)</f>
        <v/>
      </c>
      <c r="AB51" s="10">
        <f>SUM(AB50:AB50)</f>
        <v/>
      </c>
      <c r="AC51" s="9" t="inlineStr"/>
      <c r="AD51" s="10">
        <f>SUM(AD50:AD50)</f>
        <v/>
      </c>
      <c r="AE51" s="10">
        <f>SUM(AE50:AE50)</f>
        <v/>
      </c>
      <c r="AF51" s="9" t="inlineStr"/>
      <c r="AG51" s="10">
        <f>SUM(AG50:AG50)</f>
        <v/>
      </c>
      <c r="AH51" s="10">
        <f>SUM(AH50:AH50)</f>
        <v/>
      </c>
      <c r="AI51" s="9" t="inlineStr"/>
      <c r="AJ51" s="10">
        <f>SUM(AJ50:AJ50)</f>
        <v/>
      </c>
      <c r="AK51" s="10">
        <f>SUM(AK50:AK50)</f>
        <v/>
      </c>
      <c r="AL51" s="9" t="inlineStr"/>
      <c r="AM51" s="10">
        <f>SUM(AM50:AM50)</f>
        <v/>
      </c>
      <c r="AN51" s="10">
        <f>SUM(AN50:AN50)</f>
        <v/>
      </c>
      <c r="AO51" s="11">
        <f>SUM(AO50:AO50)</f>
        <v/>
      </c>
      <c r="AP51" s="10">
        <f>SUM(AP50:AP50)</f>
        <v/>
      </c>
      <c r="AQ51" s="10">
        <f>SUM(AQ50:AQ50)</f>
        <v/>
      </c>
      <c r="AR51" s="12">
        <f>IF(AP51&gt;0, AO51/AP51, 0)</f>
        <v/>
      </c>
      <c r="AS51" s="10">
        <f>IF(AR51&gt;=1.0, "Achieved", IF(AR51&gt;=0.75, "Good", IF(AR51&gt;=0.5, "Moderate", IF(AR51&gt;=0.25, "Low", "Critical"))))</f>
        <v/>
      </c>
      <c r="AT51" s="10" t="inlineStr">
        <is>
          <t>Operations</t>
        </is>
      </c>
      <c r="AU51" s="9" t="inlineStr"/>
      <c r="AV51" s="13">
        <f>AVERAGE(AV50:AV50)</f>
        <v/>
      </c>
    </row>
    <row r="52" ht="36" customHeight="1">
      <c r="A52" s="4" t="n">
        <v>35</v>
      </c>
      <c r="B52" s="4" t="inlineStr">
        <is>
          <t>97</t>
        </is>
      </c>
      <c r="C52" s="5" t="inlineStr">
        <is>
          <t>Pavithra Sivachandiran</t>
        </is>
      </c>
      <c r="D52" s="4" t="inlineStr"/>
      <c r="E52" s="5" t="inlineStr"/>
      <c r="F52" s="4" t="inlineStr"/>
      <c r="G52" s="4" t="inlineStr"/>
      <c r="H52" s="5" t="inlineStr"/>
      <c r="I52" s="4" t="inlineStr"/>
      <c r="J52" s="4" t="inlineStr"/>
      <c r="K52" s="5" t="inlineStr"/>
      <c r="L52" s="4" t="inlineStr"/>
      <c r="M52" s="4" t="inlineStr"/>
      <c r="N52" s="5" t="inlineStr"/>
      <c r="O52" s="4" t="inlineStr"/>
      <c r="P52" s="4" t="inlineStr"/>
      <c r="Q52" s="5" t="inlineStr"/>
      <c r="R52" s="4" t="inlineStr"/>
      <c r="S52" s="4" t="inlineStr"/>
      <c r="T52" s="5" t="inlineStr"/>
      <c r="U52" s="4" t="inlineStr"/>
      <c r="V52" s="4" t="inlineStr"/>
      <c r="W52" s="5" t="inlineStr"/>
      <c r="X52" s="4" t="inlineStr"/>
      <c r="Y52" s="4" t="inlineStr"/>
      <c r="Z52" s="5" t="inlineStr"/>
      <c r="AA52" s="4" t="inlineStr"/>
      <c r="AB52" s="4" t="inlineStr"/>
      <c r="AC52" s="5" t="inlineStr"/>
      <c r="AD52" s="4" t="inlineStr"/>
      <c r="AE52" s="4" t="inlineStr"/>
      <c r="AF52" s="5" t="inlineStr"/>
      <c r="AG52" s="4" t="inlineStr"/>
      <c r="AH52" s="4" t="inlineStr"/>
      <c r="AI52" s="5" t="inlineStr"/>
      <c r="AJ52" s="4" t="inlineStr"/>
      <c r="AK52" s="4" t="inlineStr"/>
      <c r="AL52" s="5" t="inlineStr"/>
      <c r="AM52" s="4" t="inlineStr"/>
      <c r="AN52" s="4" t="inlineStr"/>
      <c r="AO52" s="5" t="n">
        <v>0</v>
      </c>
      <c r="AP52" s="4" t="n">
        <v>16</v>
      </c>
      <c r="AQ52" s="4" t="inlineStr">
        <is>
          <t>16.0 Hours Remaining</t>
        </is>
      </c>
      <c r="AR52" s="6" t="inlineStr">
        <is>
          <t>0.0%</t>
        </is>
      </c>
      <c r="AS52" s="7" t="inlineStr">
        <is>
          <t>Critical</t>
        </is>
      </c>
      <c r="AT52" s="4" t="inlineStr">
        <is>
          <t>Purchase Castings</t>
        </is>
      </c>
      <c r="AU52" s="5" t="inlineStr">
        <is>
          <t>R Rathina Kumar</t>
        </is>
      </c>
      <c r="AV52" s="4" t="inlineStr">
        <is>
          <t>0.0%</t>
        </is>
      </c>
    </row>
    <row r="53" ht="24" customHeight="1">
      <c r="A53" s="8" t="inlineStr"/>
      <c r="B53" s="8" t="inlineStr"/>
      <c r="C53" s="9" t="inlineStr">
        <is>
          <t>Purchase Castings Subtotal</t>
        </is>
      </c>
      <c r="D53" s="8" t="inlineStr"/>
      <c r="E53" s="9" t="inlineStr"/>
      <c r="F53" s="10">
        <f>SUM(F52:F52)</f>
        <v/>
      </c>
      <c r="G53" s="10">
        <f>SUM(G52:G52)</f>
        <v/>
      </c>
      <c r="H53" s="9" t="inlineStr"/>
      <c r="I53" s="10">
        <f>SUM(I52:I52)</f>
        <v/>
      </c>
      <c r="J53" s="10">
        <f>SUM(J52:J52)</f>
        <v/>
      </c>
      <c r="K53" s="9" t="inlineStr"/>
      <c r="L53" s="10">
        <f>SUM(L52:L52)</f>
        <v/>
      </c>
      <c r="M53" s="10">
        <f>SUM(M52:M52)</f>
        <v/>
      </c>
      <c r="N53" s="9" t="inlineStr"/>
      <c r="O53" s="10">
        <f>SUM(O52:O52)</f>
        <v/>
      </c>
      <c r="P53" s="10">
        <f>SUM(P52:P52)</f>
        <v/>
      </c>
      <c r="Q53" s="9" t="inlineStr"/>
      <c r="R53" s="10">
        <f>SUM(R52:R52)</f>
        <v/>
      </c>
      <c r="S53" s="10">
        <f>SUM(S52:S52)</f>
        <v/>
      </c>
      <c r="T53" s="9" t="inlineStr"/>
      <c r="U53" s="10">
        <f>SUM(U52:U52)</f>
        <v/>
      </c>
      <c r="V53" s="10">
        <f>SUM(V52:V52)</f>
        <v/>
      </c>
      <c r="W53" s="9" t="inlineStr"/>
      <c r="X53" s="10">
        <f>SUM(X52:X52)</f>
        <v/>
      </c>
      <c r="Y53" s="10">
        <f>SUM(Y52:Y52)</f>
        <v/>
      </c>
      <c r="Z53" s="9" t="inlineStr"/>
      <c r="AA53" s="10">
        <f>SUM(AA52:AA52)</f>
        <v/>
      </c>
      <c r="AB53" s="10">
        <f>SUM(AB52:AB52)</f>
        <v/>
      </c>
      <c r="AC53" s="9" t="inlineStr"/>
      <c r="AD53" s="10">
        <f>SUM(AD52:AD52)</f>
        <v/>
      </c>
      <c r="AE53" s="10">
        <f>SUM(AE52:AE52)</f>
        <v/>
      </c>
      <c r="AF53" s="9" t="inlineStr"/>
      <c r="AG53" s="10">
        <f>SUM(AG52:AG52)</f>
        <v/>
      </c>
      <c r="AH53" s="10">
        <f>SUM(AH52:AH52)</f>
        <v/>
      </c>
      <c r="AI53" s="9" t="inlineStr"/>
      <c r="AJ53" s="10">
        <f>SUM(AJ52:AJ52)</f>
        <v/>
      </c>
      <c r="AK53" s="10">
        <f>SUM(AK52:AK52)</f>
        <v/>
      </c>
      <c r="AL53" s="9" t="inlineStr"/>
      <c r="AM53" s="10">
        <f>SUM(AM52:AM52)</f>
        <v/>
      </c>
      <c r="AN53" s="10">
        <f>SUM(AN52:AN52)</f>
        <v/>
      </c>
      <c r="AO53" s="11">
        <f>SUM(AO52:AO52)</f>
        <v/>
      </c>
      <c r="AP53" s="10">
        <f>SUM(AP52:AP52)</f>
        <v/>
      </c>
      <c r="AQ53" s="10">
        <f>SUM(AQ52:AQ52)</f>
        <v/>
      </c>
      <c r="AR53" s="12">
        <f>IF(AP53&gt;0, AO53/AP53, 0)</f>
        <v/>
      </c>
      <c r="AS53" s="10">
        <f>IF(AR53&gt;=1.0, "Achieved", IF(AR53&gt;=0.75, "Good", IF(AR53&gt;=0.5, "Moderate", IF(AR53&gt;=0.25, "Low", "Critical"))))</f>
        <v/>
      </c>
      <c r="AT53" s="10" t="inlineStr">
        <is>
          <t>Purchase Castings</t>
        </is>
      </c>
      <c r="AU53" s="9" t="inlineStr"/>
      <c r="AV53" s="13">
        <f>AVERAGE(AV52:AV52)</f>
        <v/>
      </c>
    </row>
    <row r="54" ht="36" customHeight="1">
      <c r="A54" s="4" t="n">
        <v>36</v>
      </c>
      <c r="B54" s="4" t="inlineStr">
        <is>
          <t>001</t>
        </is>
      </c>
      <c r="C54" s="5" t="inlineStr">
        <is>
          <t>Sagar Ramesh</t>
        </is>
      </c>
      <c r="D54" s="4" t="inlineStr"/>
      <c r="E54" s="5" t="inlineStr"/>
      <c r="F54" s="4" t="inlineStr"/>
      <c r="G54" s="4" t="inlineStr"/>
      <c r="H54" s="5" t="inlineStr"/>
      <c r="I54" s="4" t="inlineStr"/>
      <c r="J54" s="4" t="inlineStr"/>
      <c r="K54" s="5" t="inlineStr"/>
      <c r="L54" s="4" t="inlineStr"/>
      <c r="M54" s="4" t="inlineStr"/>
      <c r="N54" s="5" t="inlineStr"/>
      <c r="O54" s="4" t="inlineStr"/>
      <c r="P54" s="4" t="inlineStr"/>
      <c r="Q54" s="5" t="inlineStr"/>
      <c r="R54" s="4" t="inlineStr"/>
      <c r="S54" s="4" t="inlineStr"/>
      <c r="T54" s="5" t="inlineStr"/>
      <c r="U54" s="4" t="inlineStr"/>
      <c r="V54" s="4" t="inlineStr"/>
      <c r="W54" s="5" t="inlineStr"/>
      <c r="X54" s="4" t="inlineStr"/>
      <c r="Y54" s="4" t="inlineStr"/>
      <c r="Z54" s="5" t="inlineStr"/>
      <c r="AA54" s="4" t="inlineStr"/>
      <c r="AB54" s="4" t="inlineStr"/>
      <c r="AC54" s="5" t="inlineStr"/>
      <c r="AD54" s="4" t="inlineStr"/>
      <c r="AE54" s="4" t="inlineStr"/>
      <c r="AF54" s="5" t="inlineStr"/>
      <c r="AG54" s="4" t="inlineStr"/>
      <c r="AH54" s="4" t="inlineStr"/>
      <c r="AI54" s="5" t="inlineStr"/>
      <c r="AJ54" s="4" t="inlineStr"/>
      <c r="AK54" s="4" t="inlineStr"/>
      <c r="AL54" s="5" t="inlineStr"/>
      <c r="AM54" s="4" t="inlineStr"/>
      <c r="AN54" s="4" t="inlineStr"/>
      <c r="AO54" s="5" t="n">
        <v>0</v>
      </c>
      <c r="AP54" s="4" t="n">
        <v>16</v>
      </c>
      <c r="AQ54" s="4" t="inlineStr">
        <is>
          <t>16.0 Hours Remaining</t>
        </is>
      </c>
      <c r="AR54" s="6" t="inlineStr">
        <is>
          <t>0.0%</t>
        </is>
      </c>
      <c r="AS54" s="7" t="inlineStr">
        <is>
          <t>Critical</t>
        </is>
      </c>
      <c r="AT54" s="4" t="inlineStr">
        <is>
          <t>QA</t>
        </is>
      </c>
      <c r="AU54" s="5" t="inlineStr">
        <is>
          <t>Srinivasan Beeman</t>
        </is>
      </c>
      <c r="AV54" s="4" t="inlineStr">
        <is>
          <t>0.0%</t>
        </is>
      </c>
    </row>
    <row r="55" ht="36" customHeight="1">
      <c r="A55" s="4" t="n">
        <v>37</v>
      </c>
      <c r="B55" s="4" t="inlineStr">
        <is>
          <t>008</t>
        </is>
      </c>
      <c r="C55" s="5" t="inlineStr">
        <is>
          <t>Nethaji Raja</t>
        </is>
      </c>
      <c r="D55" s="4" t="inlineStr"/>
      <c r="E55" s="5" t="inlineStr"/>
      <c r="F55" s="4" t="inlineStr"/>
      <c r="G55" s="4" t="inlineStr"/>
      <c r="H55" s="5" t="inlineStr"/>
      <c r="I55" s="4" t="inlineStr"/>
      <c r="J55" s="4" t="inlineStr"/>
      <c r="K55" s="5" t="inlineStr"/>
      <c r="L55" s="4" t="inlineStr"/>
      <c r="M55" s="4" t="inlineStr"/>
      <c r="N55" s="5" t="inlineStr"/>
      <c r="O55" s="4" t="inlineStr"/>
      <c r="P55" s="4" t="inlineStr"/>
      <c r="Q55" s="5" t="inlineStr"/>
      <c r="R55" s="4" t="inlineStr"/>
      <c r="S55" s="4" t="inlineStr"/>
      <c r="T55" s="5" t="inlineStr"/>
      <c r="U55" s="4" t="inlineStr"/>
      <c r="V55" s="4" t="inlineStr"/>
      <c r="W55" s="5" t="inlineStr"/>
      <c r="X55" s="4" t="inlineStr"/>
      <c r="Y55" s="4" t="inlineStr"/>
      <c r="Z55" s="5" t="inlineStr"/>
      <c r="AA55" s="4" t="inlineStr"/>
      <c r="AB55" s="4" t="inlineStr"/>
      <c r="AC55" s="5" t="inlineStr"/>
      <c r="AD55" s="4" t="inlineStr"/>
      <c r="AE55" s="4" t="inlineStr"/>
      <c r="AF55" s="5" t="inlineStr"/>
      <c r="AG55" s="4" t="inlineStr"/>
      <c r="AH55" s="4" t="inlineStr"/>
      <c r="AI55" s="5" t="inlineStr"/>
      <c r="AJ55" s="4" t="inlineStr"/>
      <c r="AK55" s="4" t="inlineStr"/>
      <c r="AL55" s="5" t="inlineStr"/>
      <c r="AM55" s="4" t="inlineStr"/>
      <c r="AN55" s="4" t="inlineStr"/>
      <c r="AO55" s="5" t="n">
        <v>0</v>
      </c>
      <c r="AP55" s="4" t="n">
        <v>16</v>
      </c>
      <c r="AQ55" s="4" t="inlineStr">
        <is>
          <t>16.0 Hours Remaining</t>
        </is>
      </c>
      <c r="AR55" s="6" t="inlineStr">
        <is>
          <t>0.0%</t>
        </is>
      </c>
      <c r="AS55" s="7" t="inlineStr">
        <is>
          <t>Critical</t>
        </is>
      </c>
      <c r="AT55" s="4" t="inlineStr">
        <is>
          <t>QA</t>
        </is>
      </c>
      <c r="AU55" s="5" t="inlineStr">
        <is>
          <t>R Rathina Kumar</t>
        </is>
      </c>
      <c r="AV55" s="4" t="inlineStr">
        <is>
          <t>0.0%</t>
        </is>
      </c>
    </row>
    <row r="56" ht="36" customHeight="1">
      <c r="A56" s="4" t="n">
        <v>38</v>
      </c>
      <c r="B56" s="4" t="inlineStr">
        <is>
          <t>013</t>
        </is>
      </c>
      <c r="C56" s="5" t="inlineStr">
        <is>
          <t>Govindammal .</t>
        </is>
      </c>
      <c r="D56" s="4" t="inlineStr"/>
      <c r="E56" s="5" t="inlineStr"/>
      <c r="F56" s="4" t="inlineStr"/>
      <c r="G56" s="4" t="inlineStr"/>
      <c r="H56" s="5" t="inlineStr"/>
      <c r="I56" s="4" t="inlineStr"/>
      <c r="J56" s="4" t="inlineStr"/>
      <c r="K56" s="5" t="inlineStr"/>
      <c r="L56" s="4" t="inlineStr"/>
      <c r="M56" s="4" t="inlineStr"/>
      <c r="N56" s="5" t="inlineStr"/>
      <c r="O56" s="4" t="inlineStr"/>
      <c r="P56" s="4" t="inlineStr"/>
      <c r="Q56" s="5" t="inlineStr"/>
      <c r="R56" s="4" t="inlineStr"/>
      <c r="S56" s="4" t="inlineStr"/>
      <c r="T56" s="5" t="inlineStr"/>
      <c r="U56" s="4" t="inlineStr"/>
      <c r="V56" s="4" t="inlineStr"/>
      <c r="W56" s="5" t="inlineStr"/>
      <c r="X56" s="4" t="inlineStr"/>
      <c r="Y56" s="4" t="inlineStr"/>
      <c r="Z56" s="5" t="inlineStr"/>
      <c r="AA56" s="4" t="inlineStr"/>
      <c r="AB56" s="4" t="inlineStr"/>
      <c r="AC56" s="5" t="inlineStr"/>
      <c r="AD56" s="4" t="inlineStr"/>
      <c r="AE56" s="4" t="inlineStr"/>
      <c r="AF56" s="5" t="inlineStr"/>
      <c r="AG56" s="4" t="inlineStr"/>
      <c r="AH56" s="4" t="inlineStr"/>
      <c r="AI56" s="5" t="inlineStr"/>
      <c r="AJ56" s="4" t="inlineStr"/>
      <c r="AK56" s="4" t="inlineStr"/>
      <c r="AL56" s="5" t="inlineStr"/>
      <c r="AM56" s="4" t="inlineStr"/>
      <c r="AN56" s="4" t="inlineStr"/>
      <c r="AO56" s="5" t="n">
        <v>0</v>
      </c>
      <c r="AP56" s="4" t="n">
        <v>16</v>
      </c>
      <c r="AQ56" s="4" t="inlineStr">
        <is>
          <t>16.0 Hours Remaining</t>
        </is>
      </c>
      <c r="AR56" s="6" t="inlineStr">
        <is>
          <t>0.0%</t>
        </is>
      </c>
      <c r="AS56" s="7" t="inlineStr">
        <is>
          <t>Critical</t>
        </is>
      </c>
      <c r="AT56" s="4" t="inlineStr">
        <is>
          <t>QA</t>
        </is>
      </c>
      <c r="AU56" s="5" t="inlineStr">
        <is>
          <t>Srinivasan Beeman</t>
        </is>
      </c>
      <c r="AV56" s="4" t="inlineStr">
        <is>
          <t>0.0%</t>
        </is>
      </c>
    </row>
    <row r="57" ht="36" customHeight="1">
      <c r="A57" s="4" t="n">
        <v>39</v>
      </c>
      <c r="B57" s="4" t="inlineStr">
        <is>
          <t>015</t>
        </is>
      </c>
      <c r="C57" s="5" t="inlineStr">
        <is>
          <t>Sangeetha Murugan</t>
        </is>
      </c>
      <c r="D57" s="4" t="inlineStr"/>
      <c r="E57" s="5" t="inlineStr"/>
      <c r="F57" s="4" t="inlineStr"/>
      <c r="G57" s="4" t="inlineStr"/>
      <c r="H57" s="5" t="inlineStr"/>
      <c r="I57" s="4" t="inlineStr"/>
      <c r="J57" s="4" t="inlineStr"/>
      <c r="K57" s="5" t="inlineStr"/>
      <c r="L57" s="4" t="inlineStr"/>
      <c r="M57" s="4" t="inlineStr"/>
      <c r="N57" s="5" t="inlineStr"/>
      <c r="O57" s="4" t="inlineStr"/>
      <c r="P57" s="4" t="inlineStr"/>
      <c r="Q57" s="5" t="inlineStr"/>
      <c r="R57" s="4" t="inlineStr"/>
      <c r="S57" s="4" t="inlineStr"/>
      <c r="T57" s="5" t="inlineStr"/>
      <c r="U57" s="4" t="inlineStr"/>
      <c r="V57" s="4" t="inlineStr"/>
      <c r="W57" s="5" t="inlineStr"/>
      <c r="X57" s="4" t="inlineStr"/>
      <c r="Y57" s="4" t="inlineStr"/>
      <c r="Z57" s="5" t="inlineStr"/>
      <c r="AA57" s="4" t="inlineStr"/>
      <c r="AB57" s="4" t="inlineStr"/>
      <c r="AC57" s="5" t="inlineStr"/>
      <c r="AD57" s="4" t="inlineStr"/>
      <c r="AE57" s="4" t="inlineStr"/>
      <c r="AF57" s="5" t="inlineStr"/>
      <c r="AG57" s="4" t="inlineStr"/>
      <c r="AH57" s="4" t="inlineStr"/>
      <c r="AI57" s="5" t="inlineStr"/>
      <c r="AJ57" s="4" t="inlineStr"/>
      <c r="AK57" s="4" t="inlineStr"/>
      <c r="AL57" s="5" t="inlineStr"/>
      <c r="AM57" s="4" t="inlineStr"/>
      <c r="AN57" s="4" t="inlineStr"/>
      <c r="AO57" s="5" t="n">
        <v>0</v>
      </c>
      <c r="AP57" s="4" t="n">
        <v>16</v>
      </c>
      <c r="AQ57" s="4" t="inlineStr">
        <is>
          <t>16.0 Hours Remaining</t>
        </is>
      </c>
      <c r="AR57" s="6" t="inlineStr">
        <is>
          <t>0.0%</t>
        </is>
      </c>
      <c r="AS57" s="7" t="inlineStr">
        <is>
          <t>Critical</t>
        </is>
      </c>
      <c r="AT57" s="4" t="inlineStr">
        <is>
          <t>QA</t>
        </is>
      </c>
      <c r="AU57" s="5" t="inlineStr">
        <is>
          <t>Srinivasan Beeman</t>
        </is>
      </c>
      <c r="AV57" s="4" t="inlineStr">
        <is>
          <t>0.0%</t>
        </is>
      </c>
    </row>
    <row r="58" ht="36" customHeight="1">
      <c r="A58" s="4" t="n">
        <v>40</v>
      </c>
      <c r="B58" s="4" t="inlineStr">
        <is>
          <t>016</t>
        </is>
      </c>
      <c r="C58" s="5" t="inlineStr">
        <is>
          <t>Gunasekaran Kaveri Setty</t>
        </is>
      </c>
      <c r="D58" s="4" t="inlineStr"/>
      <c r="E58" s="5" t="inlineStr"/>
      <c r="F58" s="4" t="inlineStr"/>
      <c r="G58" s="4" t="inlineStr"/>
      <c r="H58" s="5" t="inlineStr"/>
      <c r="I58" s="4" t="inlineStr"/>
      <c r="J58" s="4" t="inlineStr"/>
      <c r="K58" s="5" t="inlineStr"/>
      <c r="L58" s="4" t="inlineStr"/>
      <c r="M58" s="4" t="inlineStr"/>
      <c r="N58" s="5" t="inlineStr"/>
      <c r="O58" s="4" t="inlineStr"/>
      <c r="P58" s="4" t="inlineStr"/>
      <c r="Q58" s="5" t="inlineStr"/>
      <c r="R58" s="4" t="inlineStr"/>
      <c r="S58" s="4" t="inlineStr"/>
      <c r="T58" s="5" t="inlineStr"/>
      <c r="U58" s="4" t="inlineStr"/>
      <c r="V58" s="4" t="inlineStr"/>
      <c r="W58" s="5" t="inlineStr"/>
      <c r="X58" s="4" t="inlineStr"/>
      <c r="Y58" s="4" t="inlineStr"/>
      <c r="Z58" s="5" t="inlineStr"/>
      <c r="AA58" s="4" t="inlineStr"/>
      <c r="AB58" s="4" t="inlineStr"/>
      <c r="AC58" s="5" t="inlineStr"/>
      <c r="AD58" s="4" t="inlineStr"/>
      <c r="AE58" s="4" t="inlineStr"/>
      <c r="AF58" s="5" t="inlineStr"/>
      <c r="AG58" s="4" t="inlineStr"/>
      <c r="AH58" s="4" t="inlineStr"/>
      <c r="AI58" s="5" t="inlineStr"/>
      <c r="AJ58" s="4" t="inlineStr"/>
      <c r="AK58" s="4" t="inlineStr"/>
      <c r="AL58" s="5" t="inlineStr"/>
      <c r="AM58" s="4" t="inlineStr"/>
      <c r="AN58" s="4" t="inlineStr"/>
      <c r="AO58" s="5" t="n">
        <v>0</v>
      </c>
      <c r="AP58" s="4" t="n">
        <v>16</v>
      </c>
      <c r="AQ58" s="4" t="inlineStr">
        <is>
          <t>16.0 Hours Remaining</t>
        </is>
      </c>
      <c r="AR58" s="6" t="inlineStr">
        <is>
          <t>0.0%</t>
        </is>
      </c>
      <c r="AS58" s="7" t="inlineStr">
        <is>
          <t>Critical</t>
        </is>
      </c>
      <c r="AT58" s="4" t="inlineStr">
        <is>
          <t>QA</t>
        </is>
      </c>
      <c r="AU58" s="5" t="inlineStr">
        <is>
          <t>Srinivasan Beeman</t>
        </is>
      </c>
      <c r="AV58" s="4" t="inlineStr">
        <is>
          <t>0.0%</t>
        </is>
      </c>
    </row>
    <row r="59" ht="36" customHeight="1">
      <c r="A59" s="4" t="n">
        <v>41</v>
      </c>
      <c r="B59" s="4" t="inlineStr">
        <is>
          <t>018</t>
        </is>
      </c>
      <c r="C59" s="5" t="inlineStr">
        <is>
          <t>Perumal Govindharaj</t>
        </is>
      </c>
      <c r="D59" s="4" t="inlineStr"/>
      <c r="E59" s="5" t="inlineStr"/>
      <c r="F59" s="4" t="inlineStr"/>
      <c r="G59" s="4" t="inlineStr"/>
      <c r="H59" s="5" t="inlineStr"/>
      <c r="I59" s="4" t="inlineStr"/>
      <c r="J59" s="4" t="inlineStr"/>
      <c r="K59" s="5" t="inlineStr"/>
      <c r="L59" s="4" t="inlineStr"/>
      <c r="M59" s="4" t="inlineStr"/>
      <c r="N59" s="5" t="inlineStr"/>
      <c r="O59" s="4" t="inlineStr"/>
      <c r="P59" s="4" t="inlineStr"/>
      <c r="Q59" s="5" t="inlineStr"/>
      <c r="R59" s="4" t="inlineStr"/>
      <c r="S59" s="4" t="inlineStr"/>
      <c r="T59" s="5" t="inlineStr"/>
      <c r="U59" s="4" t="inlineStr"/>
      <c r="V59" s="4" t="inlineStr"/>
      <c r="W59" s="5" t="inlineStr"/>
      <c r="X59" s="4" t="inlineStr"/>
      <c r="Y59" s="4" t="inlineStr"/>
      <c r="Z59" s="5" t="inlineStr"/>
      <c r="AA59" s="4" t="inlineStr"/>
      <c r="AB59" s="4" t="inlineStr"/>
      <c r="AC59" s="5" t="inlineStr"/>
      <c r="AD59" s="4" t="inlineStr"/>
      <c r="AE59" s="4" t="inlineStr"/>
      <c r="AF59" s="5" t="inlineStr"/>
      <c r="AG59" s="4" t="inlineStr"/>
      <c r="AH59" s="4" t="inlineStr"/>
      <c r="AI59" s="5" t="inlineStr"/>
      <c r="AJ59" s="4" t="inlineStr"/>
      <c r="AK59" s="4" t="inlineStr"/>
      <c r="AL59" s="5" t="inlineStr"/>
      <c r="AM59" s="4" t="inlineStr"/>
      <c r="AN59" s="4" t="inlineStr"/>
      <c r="AO59" s="5" t="n">
        <v>0</v>
      </c>
      <c r="AP59" s="4" t="n">
        <v>16</v>
      </c>
      <c r="AQ59" s="4" t="inlineStr">
        <is>
          <t>16.0 Hours Remaining</t>
        </is>
      </c>
      <c r="AR59" s="6" t="inlineStr">
        <is>
          <t>0.0%</t>
        </is>
      </c>
      <c r="AS59" s="7" t="inlineStr">
        <is>
          <t>Critical</t>
        </is>
      </c>
      <c r="AT59" s="4" t="inlineStr">
        <is>
          <t>QA</t>
        </is>
      </c>
      <c r="AU59" s="5" t="inlineStr">
        <is>
          <t>Srinivasan Beeman</t>
        </is>
      </c>
      <c r="AV59" s="4" t="inlineStr">
        <is>
          <t>0.0%</t>
        </is>
      </c>
    </row>
    <row r="60" ht="36" customHeight="1">
      <c r="A60" s="4" t="n">
        <v>42</v>
      </c>
      <c r="B60" s="4" t="inlineStr">
        <is>
          <t>020</t>
        </is>
      </c>
      <c r="C60" s="5" t="inlineStr">
        <is>
          <t>Yuvaraj Vijayan</t>
        </is>
      </c>
      <c r="D60" s="4" t="inlineStr"/>
      <c r="E60" s="5" t="inlineStr"/>
      <c r="F60" s="4" t="inlineStr"/>
      <c r="G60" s="4" t="inlineStr"/>
      <c r="H60" s="5" t="inlineStr"/>
      <c r="I60" s="4" t="inlineStr"/>
      <c r="J60" s="4" t="inlineStr"/>
      <c r="K60" s="5" t="inlineStr"/>
      <c r="L60" s="4" t="inlineStr"/>
      <c r="M60" s="4" t="inlineStr"/>
      <c r="N60" s="5" t="inlineStr"/>
      <c r="O60" s="4" t="inlineStr"/>
      <c r="P60" s="4" t="inlineStr"/>
      <c r="Q60" s="5" t="inlineStr"/>
      <c r="R60" s="4" t="inlineStr"/>
      <c r="S60" s="4" t="inlineStr"/>
      <c r="T60" s="5" t="inlineStr"/>
      <c r="U60" s="4" t="inlineStr"/>
      <c r="V60" s="4" t="inlineStr"/>
      <c r="W60" s="5" t="inlineStr"/>
      <c r="X60" s="4" t="inlineStr"/>
      <c r="Y60" s="4" t="inlineStr"/>
      <c r="Z60" s="5" t="inlineStr"/>
      <c r="AA60" s="4" t="inlineStr"/>
      <c r="AB60" s="4" t="inlineStr"/>
      <c r="AC60" s="5" t="inlineStr"/>
      <c r="AD60" s="4" t="inlineStr"/>
      <c r="AE60" s="4" t="inlineStr"/>
      <c r="AF60" s="5" t="inlineStr"/>
      <c r="AG60" s="4" t="inlineStr"/>
      <c r="AH60" s="4" t="inlineStr"/>
      <c r="AI60" s="5" t="inlineStr"/>
      <c r="AJ60" s="4" t="inlineStr"/>
      <c r="AK60" s="4" t="inlineStr"/>
      <c r="AL60" s="5" t="inlineStr"/>
      <c r="AM60" s="4" t="inlineStr"/>
      <c r="AN60" s="4" t="inlineStr"/>
      <c r="AO60" s="5" t="n">
        <v>0</v>
      </c>
      <c r="AP60" s="4" t="n">
        <v>16</v>
      </c>
      <c r="AQ60" s="4" t="inlineStr">
        <is>
          <t>16.0 Hours Remaining</t>
        </is>
      </c>
      <c r="AR60" s="6" t="inlineStr">
        <is>
          <t>0.0%</t>
        </is>
      </c>
      <c r="AS60" s="7" t="inlineStr">
        <is>
          <t>Critical</t>
        </is>
      </c>
      <c r="AT60" s="4" t="inlineStr">
        <is>
          <t>QA</t>
        </is>
      </c>
      <c r="AU60" s="5" t="inlineStr">
        <is>
          <t>Srinivasan Beeman</t>
        </is>
      </c>
      <c r="AV60" s="4" t="inlineStr">
        <is>
          <t>0.0%</t>
        </is>
      </c>
    </row>
    <row r="61" ht="36" customHeight="1">
      <c r="A61" s="4" t="n">
        <v>43</v>
      </c>
      <c r="B61" s="4" t="inlineStr">
        <is>
          <t>023</t>
        </is>
      </c>
      <c r="C61" s="5" t="inlineStr">
        <is>
          <t>Murthy K</t>
        </is>
      </c>
      <c r="D61" s="4" t="inlineStr"/>
      <c r="E61" s="5" t="inlineStr"/>
      <c r="F61" s="4" t="inlineStr"/>
      <c r="G61" s="4" t="inlineStr"/>
      <c r="H61" s="5" t="inlineStr"/>
      <c r="I61" s="4" t="inlineStr"/>
      <c r="J61" s="4" t="inlineStr"/>
      <c r="K61" s="5" t="inlineStr"/>
      <c r="L61" s="4" t="inlineStr"/>
      <c r="M61" s="4" t="inlineStr"/>
      <c r="N61" s="5" t="inlineStr"/>
      <c r="O61" s="4" t="inlineStr"/>
      <c r="P61" s="4" t="inlineStr"/>
      <c r="Q61" s="5" t="inlineStr"/>
      <c r="R61" s="4" t="inlineStr"/>
      <c r="S61" s="4" t="inlineStr"/>
      <c r="T61" s="5" t="inlineStr"/>
      <c r="U61" s="4" t="inlineStr"/>
      <c r="V61" s="4" t="inlineStr"/>
      <c r="W61" s="5" t="inlineStr"/>
      <c r="X61" s="4" t="inlineStr"/>
      <c r="Y61" s="4" t="inlineStr"/>
      <c r="Z61" s="5" t="inlineStr"/>
      <c r="AA61" s="4" t="inlineStr"/>
      <c r="AB61" s="4" t="inlineStr"/>
      <c r="AC61" s="5" t="inlineStr"/>
      <c r="AD61" s="4" t="inlineStr"/>
      <c r="AE61" s="4" t="inlineStr"/>
      <c r="AF61" s="5" t="inlineStr"/>
      <c r="AG61" s="4" t="inlineStr"/>
      <c r="AH61" s="4" t="inlineStr"/>
      <c r="AI61" s="5" t="inlineStr"/>
      <c r="AJ61" s="4" t="inlineStr"/>
      <c r="AK61" s="4" t="inlineStr"/>
      <c r="AL61" s="5" t="inlineStr"/>
      <c r="AM61" s="4" t="inlineStr"/>
      <c r="AN61" s="4" t="inlineStr"/>
      <c r="AO61" s="5" t="n">
        <v>0</v>
      </c>
      <c r="AP61" s="4" t="n">
        <v>16</v>
      </c>
      <c r="AQ61" s="4" t="inlineStr">
        <is>
          <t>16.0 Hours Remaining</t>
        </is>
      </c>
      <c r="AR61" s="6" t="inlineStr">
        <is>
          <t>0.0%</t>
        </is>
      </c>
      <c r="AS61" s="7" t="inlineStr">
        <is>
          <t>Critical</t>
        </is>
      </c>
      <c r="AT61" s="4" t="inlineStr">
        <is>
          <t>QA</t>
        </is>
      </c>
      <c r="AU61" s="5" t="inlineStr">
        <is>
          <t>Srinivasan Beeman</t>
        </is>
      </c>
      <c r="AV61" s="4" t="inlineStr">
        <is>
          <t>0.0%</t>
        </is>
      </c>
    </row>
    <row r="62" ht="36" customHeight="1">
      <c r="A62" s="4" t="n">
        <v>44</v>
      </c>
      <c r="B62" s="4" t="inlineStr">
        <is>
          <t>024</t>
        </is>
      </c>
      <c r="C62" s="5" t="inlineStr">
        <is>
          <t>M Arun</t>
        </is>
      </c>
      <c r="D62" s="4" t="inlineStr"/>
      <c r="E62" s="5" t="inlineStr"/>
      <c r="F62" s="4" t="inlineStr"/>
      <c r="G62" s="4" t="inlineStr"/>
      <c r="H62" s="5" t="inlineStr"/>
      <c r="I62" s="4" t="inlineStr"/>
      <c r="J62" s="4" t="inlineStr"/>
      <c r="K62" s="5" t="inlineStr"/>
      <c r="L62" s="4" t="inlineStr"/>
      <c r="M62" s="4" t="inlineStr"/>
      <c r="N62" s="5" t="inlineStr"/>
      <c r="O62" s="4" t="inlineStr"/>
      <c r="P62" s="4" t="inlineStr"/>
      <c r="Q62" s="5" t="inlineStr"/>
      <c r="R62" s="4" t="inlineStr"/>
      <c r="S62" s="4" t="inlineStr"/>
      <c r="T62" s="5" t="inlineStr"/>
      <c r="U62" s="4" t="inlineStr"/>
      <c r="V62" s="4" t="inlineStr"/>
      <c r="W62" s="5" t="inlineStr"/>
      <c r="X62" s="4" t="inlineStr"/>
      <c r="Y62" s="4" t="inlineStr"/>
      <c r="Z62" s="5" t="inlineStr"/>
      <c r="AA62" s="4" t="inlineStr"/>
      <c r="AB62" s="4" t="inlineStr"/>
      <c r="AC62" s="5" t="inlineStr"/>
      <c r="AD62" s="4" t="inlineStr"/>
      <c r="AE62" s="4" t="inlineStr"/>
      <c r="AF62" s="5" t="inlineStr"/>
      <c r="AG62" s="4" t="inlineStr"/>
      <c r="AH62" s="4" t="inlineStr"/>
      <c r="AI62" s="5" t="inlineStr"/>
      <c r="AJ62" s="4" t="inlineStr"/>
      <c r="AK62" s="4" t="inlineStr"/>
      <c r="AL62" s="5" t="inlineStr"/>
      <c r="AM62" s="4" t="inlineStr"/>
      <c r="AN62" s="4" t="inlineStr"/>
      <c r="AO62" s="5" t="n">
        <v>0</v>
      </c>
      <c r="AP62" s="4" t="n">
        <v>16</v>
      </c>
      <c r="AQ62" s="4" t="inlineStr">
        <is>
          <t>16.0 Hours Remaining</t>
        </is>
      </c>
      <c r="AR62" s="6" t="inlineStr">
        <is>
          <t>0.0%</t>
        </is>
      </c>
      <c r="AS62" s="7" t="inlineStr">
        <is>
          <t>Critical</t>
        </is>
      </c>
      <c r="AT62" s="4" t="inlineStr">
        <is>
          <t>QA</t>
        </is>
      </c>
      <c r="AU62" s="5" t="inlineStr">
        <is>
          <t>R Rathina Kumar</t>
        </is>
      </c>
      <c r="AV62" s="4" t="inlineStr">
        <is>
          <t>0.0%</t>
        </is>
      </c>
    </row>
    <row r="63" ht="36" customHeight="1">
      <c r="A63" s="4" t="n">
        <v>45</v>
      </c>
      <c r="B63" s="4" t="inlineStr">
        <is>
          <t>026</t>
        </is>
      </c>
      <c r="C63" s="5" t="inlineStr">
        <is>
          <t>Surya P</t>
        </is>
      </c>
      <c r="D63" s="4" t="inlineStr"/>
      <c r="E63" s="5" t="inlineStr"/>
      <c r="F63" s="4" t="inlineStr"/>
      <c r="G63" s="4" t="inlineStr"/>
      <c r="H63" s="5" t="inlineStr"/>
      <c r="I63" s="4" t="inlineStr"/>
      <c r="J63" s="4" t="inlineStr"/>
      <c r="K63" s="5" t="inlineStr"/>
      <c r="L63" s="4" t="inlineStr"/>
      <c r="M63" s="4" t="inlineStr"/>
      <c r="N63" s="5" t="inlineStr"/>
      <c r="O63" s="4" t="inlineStr"/>
      <c r="P63" s="4" t="inlineStr"/>
      <c r="Q63" s="5" t="inlineStr"/>
      <c r="R63" s="4" t="inlineStr"/>
      <c r="S63" s="4" t="inlineStr"/>
      <c r="T63" s="5" t="inlineStr"/>
      <c r="U63" s="4" t="inlineStr"/>
      <c r="V63" s="4" t="inlineStr"/>
      <c r="W63" s="5" t="inlineStr"/>
      <c r="X63" s="4" t="inlineStr"/>
      <c r="Y63" s="4" t="inlineStr"/>
      <c r="Z63" s="5" t="inlineStr"/>
      <c r="AA63" s="4" t="inlineStr"/>
      <c r="AB63" s="4" t="inlineStr"/>
      <c r="AC63" s="5" t="inlineStr"/>
      <c r="AD63" s="4" t="inlineStr"/>
      <c r="AE63" s="4" t="inlineStr"/>
      <c r="AF63" s="5" t="inlineStr"/>
      <c r="AG63" s="4" t="inlineStr"/>
      <c r="AH63" s="4" t="inlineStr"/>
      <c r="AI63" s="5" t="inlineStr"/>
      <c r="AJ63" s="4" t="inlineStr"/>
      <c r="AK63" s="4" t="inlineStr"/>
      <c r="AL63" s="5" t="inlineStr"/>
      <c r="AM63" s="4" t="inlineStr"/>
      <c r="AN63" s="4" t="inlineStr"/>
      <c r="AO63" s="5" t="n">
        <v>0</v>
      </c>
      <c r="AP63" s="4" t="n">
        <v>16</v>
      </c>
      <c r="AQ63" s="4" t="inlineStr">
        <is>
          <t>16.0 Hours Remaining</t>
        </is>
      </c>
      <c r="AR63" s="6" t="inlineStr">
        <is>
          <t>0.0%</t>
        </is>
      </c>
      <c r="AS63" s="7" t="inlineStr">
        <is>
          <t>Critical</t>
        </is>
      </c>
      <c r="AT63" s="4" t="inlineStr">
        <is>
          <t>QA</t>
        </is>
      </c>
      <c r="AU63" s="5" t="inlineStr">
        <is>
          <t>Srinivasan Beeman</t>
        </is>
      </c>
      <c r="AV63" s="4" t="inlineStr">
        <is>
          <t>0.0%</t>
        </is>
      </c>
    </row>
    <row r="64" ht="36" customHeight="1">
      <c r="A64" s="4" t="n">
        <v>46</v>
      </c>
      <c r="B64" s="4" t="inlineStr">
        <is>
          <t>028</t>
        </is>
      </c>
      <c r="C64" s="5" t="inlineStr">
        <is>
          <t>Saranya Kuppan</t>
        </is>
      </c>
      <c r="D64" s="4" t="inlineStr"/>
      <c r="E64" s="5" t="inlineStr"/>
      <c r="F64" s="4" t="inlineStr"/>
      <c r="G64" s="4" t="inlineStr"/>
      <c r="H64" s="5" t="inlineStr"/>
      <c r="I64" s="4" t="inlineStr"/>
      <c r="J64" s="4" t="inlineStr"/>
      <c r="K64" s="5" t="inlineStr"/>
      <c r="L64" s="4" t="inlineStr"/>
      <c r="M64" s="4" t="inlineStr"/>
      <c r="N64" s="5" t="inlineStr"/>
      <c r="O64" s="4" t="inlineStr"/>
      <c r="P64" s="4" t="inlineStr"/>
      <c r="Q64" s="5" t="inlineStr"/>
      <c r="R64" s="4" t="inlineStr"/>
      <c r="S64" s="4" t="inlineStr"/>
      <c r="T64" s="5" t="inlineStr"/>
      <c r="U64" s="4" t="inlineStr"/>
      <c r="V64" s="4" t="inlineStr"/>
      <c r="W64" s="5" t="inlineStr"/>
      <c r="X64" s="4" t="inlineStr"/>
      <c r="Y64" s="4" t="inlineStr"/>
      <c r="Z64" s="5" t="inlineStr"/>
      <c r="AA64" s="4" t="inlineStr"/>
      <c r="AB64" s="4" t="inlineStr"/>
      <c r="AC64" s="5" t="inlineStr"/>
      <c r="AD64" s="4" t="inlineStr"/>
      <c r="AE64" s="4" t="inlineStr"/>
      <c r="AF64" s="5" t="inlineStr"/>
      <c r="AG64" s="4" t="inlineStr"/>
      <c r="AH64" s="4" t="inlineStr"/>
      <c r="AI64" s="5" t="inlineStr"/>
      <c r="AJ64" s="4" t="inlineStr"/>
      <c r="AK64" s="4" t="inlineStr"/>
      <c r="AL64" s="5" t="inlineStr"/>
      <c r="AM64" s="4" t="inlineStr"/>
      <c r="AN64" s="4" t="inlineStr"/>
      <c r="AO64" s="5" t="n">
        <v>0</v>
      </c>
      <c r="AP64" s="4" t="n">
        <v>16</v>
      </c>
      <c r="AQ64" s="4" t="inlineStr">
        <is>
          <t>16.0 Hours Remaining</t>
        </is>
      </c>
      <c r="AR64" s="6" t="inlineStr">
        <is>
          <t>0.0%</t>
        </is>
      </c>
      <c r="AS64" s="7" t="inlineStr">
        <is>
          <t>Critical</t>
        </is>
      </c>
      <c r="AT64" s="4" t="inlineStr">
        <is>
          <t>QA</t>
        </is>
      </c>
      <c r="AU64" s="5" t="inlineStr">
        <is>
          <t>Srinivasan Beeman</t>
        </is>
      </c>
      <c r="AV64" s="4" t="inlineStr">
        <is>
          <t>0.0%</t>
        </is>
      </c>
    </row>
    <row r="65" ht="36" customHeight="1">
      <c r="A65" s="4" t="n">
        <v>47</v>
      </c>
      <c r="B65" s="4" t="inlineStr">
        <is>
          <t>100</t>
        </is>
      </c>
      <c r="C65" s="5" t="inlineStr">
        <is>
          <t>Nagaraju K</t>
        </is>
      </c>
      <c r="D65" s="4" t="inlineStr"/>
      <c r="E65" s="5" t="inlineStr"/>
      <c r="F65" s="4" t="inlineStr"/>
      <c r="G65" s="4" t="inlineStr"/>
      <c r="H65" s="5" t="inlineStr"/>
      <c r="I65" s="4" t="inlineStr"/>
      <c r="J65" s="4" t="inlineStr"/>
      <c r="K65" s="5" t="inlineStr"/>
      <c r="L65" s="4" t="inlineStr"/>
      <c r="M65" s="4" t="inlineStr"/>
      <c r="N65" s="5" t="inlineStr"/>
      <c r="O65" s="4" t="inlineStr"/>
      <c r="P65" s="4" t="inlineStr"/>
      <c r="Q65" s="5" t="inlineStr"/>
      <c r="R65" s="4" t="inlineStr"/>
      <c r="S65" s="4" t="inlineStr"/>
      <c r="T65" s="5" t="inlineStr"/>
      <c r="U65" s="4" t="inlineStr"/>
      <c r="V65" s="4" t="inlineStr"/>
      <c r="W65" s="5" t="inlineStr"/>
      <c r="X65" s="4" t="inlineStr"/>
      <c r="Y65" s="4" t="inlineStr"/>
      <c r="Z65" s="5" t="inlineStr"/>
      <c r="AA65" s="4" t="inlineStr"/>
      <c r="AB65" s="4" t="inlineStr"/>
      <c r="AC65" s="5" t="inlineStr"/>
      <c r="AD65" s="4" t="inlineStr"/>
      <c r="AE65" s="4" t="inlineStr"/>
      <c r="AF65" s="5" t="inlineStr"/>
      <c r="AG65" s="4" t="inlineStr"/>
      <c r="AH65" s="4" t="inlineStr"/>
      <c r="AI65" s="5" t="inlineStr"/>
      <c r="AJ65" s="4" t="inlineStr"/>
      <c r="AK65" s="4" t="inlineStr"/>
      <c r="AL65" s="5" t="inlineStr"/>
      <c r="AM65" s="4" t="inlineStr"/>
      <c r="AN65" s="4" t="inlineStr"/>
      <c r="AO65" s="5" t="n">
        <v>0</v>
      </c>
      <c r="AP65" s="4" t="n">
        <v>16</v>
      </c>
      <c r="AQ65" s="4" t="inlineStr">
        <is>
          <t>16.0 Hours Remaining</t>
        </is>
      </c>
      <c r="AR65" s="6" t="inlineStr">
        <is>
          <t>0.0%</t>
        </is>
      </c>
      <c r="AS65" s="7" t="inlineStr">
        <is>
          <t>Critical</t>
        </is>
      </c>
      <c r="AT65" s="4" t="inlineStr">
        <is>
          <t>QA</t>
        </is>
      </c>
      <c r="AU65" s="5" t="inlineStr">
        <is>
          <t>Srinivasan Beeman</t>
        </is>
      </c>
      <c r="AV65" s="4" t="inlineStr">
        <is>
          <t>0.0%</t>
        </is>
      </c>
    </row>
    <row r="66" ht="36" customHeight="1">
      <c r="A66" s="4" t="n">
        <v>48</v>
      </c>
      <c r="B66" s="4" t="inlineStr">
        <is>
          <t>103</t>
        </is>
      </c>
      <c r="C66" s="5" t="inlineStr">
        <is>
          <t>Suresh Muniyappan</t>
        </is>
      </c>
      <c r="D66" s="4" t="inlineStr"/>
      <c r="E66" s="5" t="inlineStr"/>
      <c r="F66" s="4" t="inlineStr"/>
      <c r="G66" s="4" t="inlineStr"/>
      <c r="H66" s="5" t="inlineStr"/>
      <c r="I66" s="4" t="inlineStr"/>
      <c r="J66" s="4" t="inlineStr"/>
      <c r="K66" s="5" t="inlineStr"/>
      <c r="L66" s="4" t="inlineStr"/>
      <c r="M66" s="4" t="inlineStr"/>
      <c r="N66" s="5" t="inlineStr"/>
      <c r="O66" s="4" t="inlineStr"/>
      <c r="P66" s="4" t="inlineStr"/>
      <c r="Q66" s="5" t="inlineStr"/>
      <c r="R66" s="4" t="inlineStr"/>
      <c r="S66" s="4" t="inlineStr"/>
      <c r="T66" s="5" t="inlineStr"/>
      <c r="U66" s="4" t="inlineStr"/>
      <c r="V66" s="4" t="inlineStr"/>
      <c r="W66" s="5" t="inlineStr"/>
      <c r="X66" s="4" t="inlineStr"/>
      <c r="Y66" s="4" t="inlineStr"/>
      <c r="Z66" s="5" t="inlineStr"/>
      <c r="AA66" s="4" t="inlineStr"/>
      <c r="AB66" s="4" t="inlineStr"/>
      <c r="AC66" s="5" t="inlineStr"/>
      <c r="AD66" s="4" t="inlineStr"/>
      <c r="AE66" s="4" t="inlineStr"/>
      <c r="AF66" s="5" t="inlineStr"/>
      <c r="AG66" s="4" t="inlineStr"/>
      <c r="AH66" s="4" t="inlineStr"/>
      <c r="AI66" s="5" t="inlineStr"/>
      <c r="AJ66" s="4" t="inlineStr"/>
      <c r="AK66" s="4" t="inlineStr"/>
      <c r="AL66" s="5" t="inlineStr"/>
      <c r="AM66" s="4" t="inlineStr"/>
      <c r="AN66" s="4" t="inlineStr"/>
      <c r="AO66" s="5" t="n">
        <v>0</v>
      </c>
      <c r="AP66" s="4" t="n">
        <v>16</v>
      </c>
      <c r="AQ66" s="4" t="inlineStr">
        <is>
          <t>16.0 Hours Remaining</t>
        </is>
      </c>
      <c r="AR66" s="6" t="inlineStr">
        <is>
          <t>0.0%</t>
        </is>
      </c>
      <c r="AS66" s="7" t="inlineStr">
        <is>
          <t>Critical</t>
        </is>
      </c>
      <c r="AT66" s="4" t="inlineStr">
        <is>
          <t>QA</t>
        </is>
      </c>
      <c r="AU66" s="5" t="inlineStr">
        <is>
          <t>Srinivasan Beeman</t>
        </is>
      </c>
      <c r="AV66" s="4" t="inlineStr">
        <is>
          <t>0.0%</t>
        </is>
      </c>
    </row>
    <row r="67" ht="36" customHeight="1">
      <c r="A67" s="4" t="n">
        <v>49</v>
      </c>
      <c r="B67" s="4" t="inlineStr">
        <is>
          <t>109</t>
        </is>
      </c>
      <c r="C67" s="5" t="inlineStr">
        <is>
          <t>Poovarasan S</t>
        </is>
      </c>
      <c r="D67" s="4" t="inlineStr"/>
      <c r="E67" s="5" t="inlineStr"/>
      <c r="F67" s="4" t="inlineStr"/>
      <c r="G67" s="4" t="inlineStr"/>
      <c r="H67" s="5" t="inlineStr"/>
      <c r="I67" s="4" t="inlineStr"/>
      <c r="J67" s="4" t="inlineStr"/>
      <c r="K67" s="5" t="inlineStr"/>
      <c r="L67" s="4" t="inlineStr"/>
      <c r="M67" s="4" t="inlineStr"/>
      <c r="N67" s="5" t="inlineStr"/>
      <c r="O67" s="4" t="inlineStr"/>
      <c r="P67" s="4" t="inlineStr"/>
      <c r="Q67" s="5" t="inlineStr"/>
      <c r="R67" s="4" t="inlineStr"/>
      <c r="S67" s="4" t="inlineStr"/>
      <c r="T67" s="5" t="inlineStr"/>
      <c r="U67" s="4" t="inlineStr"/>
      <c r="V67" s="4" t="inlineStr"/>
      <c r="W67" s="5" t="inlineStr"/>
      <c r="X67" s="4" t="inlineStr"/>
      <c r="Y67" s="4" t="inlineStr"/>
      <c r="Z67" s="5" t="inlineStr"/>
      <c r="AA67" s="4" t="inlineStr"/>
      <c r="AB67" s="4" t="inlineStr"/>
      <c r="AC67" s="5" t="inlineStr"/>
      <c r="AD67" s="4" t="inlineStr"/>
      <c r="AE67" s="4" t="inlineStr"/>
      <c r="AF67" s="5" t="inlineStr"/>
      <c r="AG67" s="4" t="inlineStr"/>
      <c r="AH67" s="4" t="inlineStr"/>
      <c r="AI67" s="5" t="inlineStr"/>
      <c r="AJ67" s="4" t="inlineStr"/>
      <c r="AK67" s="4" t="inlineStr"/>
      <c r="AL67" s="5" t="inlineStr"/>
      <c r="AM67" s="4" t="inlineStr"/>
      <c r="AN67" s="4" t="inlineStr"/>
      <c r="AO67" s="5" t="n">
        <v>0</v>
      </c>
      <c r="AP67" s="4" t="n">
        <v>16</v>
      </c>
      <c r="AQ67" s="4" t="inlineStr">
        <is>
          <t>16.0 Hours Remaining</t>
        </is>
      </c>
      <c r="AR67" s="6" t="inlineStr">
        <is>
          <t>0.0%</t>
        </is>
      </c>
      <c r="AS67" s="7" t="inlineStr">
        <is>
          <t>Critical</t>
        </is>
      </c>
      <c r="AT67" s="4" t="inlineStr">
        <is>
          <t>QA</t>
        </is>
      </c>
      <c r="AU67" s="5" t="inlineStr">
        <is>
          <t>Srinivasan Beeman</t>
        </is>
      </c>
      <c r="AV67" s="4" t="inlineStr">
        <is>
          <t>0.0%</t>
        </is>
      </c>
    </row>
    <row r="68" ht="36" customHeight="1">
      <c r="A68" s="4" t="n">
        <v>50</v>
      </c>
      <c r="B68" s="4" t="inlineStr">
        <is>
          <t>110</t>
        </is>
      </c>
      <c r="C68" s="5" t="inlineStr">
        <is>
          <t>Savaliya Nishant Popatbhai</t>
        </is>
      </c>
      <c r="D68" s="4" t="inlineStr"/>
      <c r="E68" s="5" t="inlineStr"/>
      <c r="F68" s="4" t="inlineStr"/>
      <c r="G68" s="4" t="inlineStr"/>
      <c r="H68" s="5" t="inlineStr"/>
      <c r="I68" s="4" t="inlineStr"/>
      <c r="J68" s="4" t="inlineStr"/>
      <c r="K68" s="5" t="inlineStr"/>
      <c r="L68" s="4" t="inlineStr"/>
      <c r="M68" s="4" t="inlineStr"/>
      <c r="N68" s="5" t="inlineStr"/>
      <c r="O68" s="4" t="inlineStr"/>
      <c r="P68" s="4" t="inlineStr"/>
      <c r="Q68" s="5" t="inlineStr"/>
      <c r="R68" s="4" t="inlineStr"/>
      <c r="S68" s="4" t="inlineStr"/>
      <c r="T68" s="5" t="inlineStr"/>
      <c r="U68" s="4" t="inlineStr"/>
      <c r="V68" s="4" t="inlineStr"/>
      <c r="W68" s="5" t="inlineStr"/>
      <c r="X68" s="4" t="inlineStr"/>
      <c r="Y68" s="4" t="inlineStr"/>
      <c r="Z68" s="5" t="inlineStr"/>
      <c r="AA68" s="4" t="inlineStr"/>
      <c r="AB68" s="4" t="inlineStr"/>
      <c r="AC68" s="5" t="inlineStr"/>
      <c r="AD68" s="4" t="inlineStr"/>
      <c r="AE68" s="4" t="inlineStr"/>
      <c r="AF68" s="5" t="inlineStr"/>
      <c r="AG68" s="4" t="inlineStr"/>
      <c r="AH68" s="4" t="inlineStr"/>
      <c r="AI68" s="5" t="inlineStr"/>
      <c r="AJ68" s="4" t="inlineStr"/>
      <c r="AK68" s="4" t="inlineStr"/>
      <c r="AL68" s="5" t="inlineStr"/>
      <c r="AM68" s="4" t="inlineStr"/>
      <c r="AN68" s="4" t="inlineStr"/>
      <c r="AO68" s="5" t="n">
        <v>0</v>
      </c>
      <c r="AP68" s="4" t="n">
        <v>16</v>
      </c>
      <c r="AQ68" s="4" t="inlineStr">
        <is>
          <t>16.0 Hours Remaining</t>
        </is>
      </c>
      <c r="AR68" s="6" t="inlineStr">
        <is>
          <t>0.0%</t>
        </is>
      </c>
      <c r="AS68" s="7" t="inlineStr">
        <is>
          <t>Critical</t>
        </is>
      </c>
      <c r="AT68" s="4" t="inlineStr">
        <is>
          <t>QA</t>
        </is>
      </c>
      <c r="AU68" s="5" t="inlineStr">
        <is>
          <t>Vinit Praful Karia</t>
        </is>
      </c>
      <c r="AV68" s="4" t="inlineStr">
        <is>
          <t>0.0%</t>
        </is>
      </c>
    </row>
    <row r="69" ht="36" customHeight="1">
      <c r="A69" s="4" t="n">
        <v>51</v>
      </c>
      <c r="B69" s="4" t="inlineStr">
        <is>
          <t>13</t>
        </is>
      </c>
      <c r="C69" s="5" t="inlineStr">
        <is>
          <t>Srinivasan Beeman</t>
        </is>
      </c>
      <c r="D69" s="4" t="inlineStr"/>
      <c r="E69" s="5" t="inlineStr"/>
      <c r="F69" s="4" t="inlineStr"/>
      <c r="G69" s="4" t="inlineStr"/>
      <c r="H69" s="5" t="inlineStr"/>
      <c r="I69" s="4" t="inlineStr"/>
      <c r="J69" s="4" t="inlineStr"/>
      <c r="K69" s="5" t="inlineStr"/>
      <c r="L69" s="4" t="inlineStr"/>
      <c r="M69" s="4" t="inlineStr"/>
      <c r="N69" s="5" t="inlineStr"/>
      <c r="O69" s="4" t="inlineStr"/>
      <c r="P69" s="4" t="inlineStr"/>
      <c r="Q69" s="5" t="inlineStr"/>
      <c r="R69" s="4" t="inlineStr"/>
      <c r="S69" s="4" t="inlineStr"/>
      <c r="T69" s="5" t="inlineStr"/>
      <c r="U69" s="4" t="inlineStr"/>
      <c r="V69" s="4" t="inlineStr"/>
      <c r="W69" s="5" t="inlineStr"/>
      <c r="X69" s="4" t="inlineStr"/>
      <c r="Y69" s="4" t="inlineStr"/>
      <c r="Z69" s="5" t="inlineStr"/>
      <c r="AA69" s="4" t="inlineStr"/>
      <c r="AB69" s="4" t="inlineStr"/>
      <c r="AC69" s="5" t="inlineStr"/>
      <c r="AD69" s="4" t="inlineStr"/>
      <c r="AE69" s="4" t="inlineStr"/>
      <c r="AF69" s="5" t="inlineStr"/>
      <c r="AG69" s="4" t="inlineStr"/>
      <c r="AH69" s="4" t="inlineStr"/>
      <c r="AI69" s="5" t="inlineStr"/>
      <c r="AJ69" s="4" t="inlineStr"/>
      <c r="AK69" s="4" t="inlineStr"/>
      <c r="AL69" s="5" t="inlineStr"/>
      <c r="AM69" s="4" t="inlineStr"/>
      <c r="AN69" s="4" t="inlineStr"/>
      <c r="AO69" s="5" t="n">
        <v>0</v>
      </c>
      <c r="AP69" s="4" t="n">
        <v>16</v>
      </c>
      <c r="AQ69" s="4" t="inlineStr">
        <is>
          <t>16.0 Hours Remaining</t>
        </is>
      </c>
      <c r="AR69" s="6" t="inlineStr">
        <is>
          <t>0.0%</t>
        </is>
      </c>
      <c r="AS69" s="7" t="inlineStr">
        <is>
          <t>Critical</t>
        </is>
      </c>
      <c r="AT69" s="4" t="inlineStr">
        <is>
          <t>QA</t>
        </is>
      </c>
      <c r="AU69" s="5" t="inlineStr">
        <is>
          <t>Prakash Padukhone Muthiah</t>
        </is>
      </c>
      <c r="AV69" s="4" t="inlineStr">
        <is>
          <t>0.0%</t>
        </is>
      </c>
    </row>
    <row r="70" ht="36" customHeight="1">
      <c r="A70" s="4" t="n">
        <v>52</v>
      </c>
      <c r="B70" s="4" t="inlineStr">
        <is>
          <t>16</t>
        </is>
      </c>
      <c r="C70" s="5" t="inlineStr">
        <is>
          <t>Kadiraysh S</t>
        </is>
      </c>
      <c r="D70" s="4" t="inlineStr"/>
      <c r="E70" s="5" t="inlineStr"/>
      <c r="F70" s="4" t="inlineStr"/>
      <c r="G70" s="4" t="inlineStr"/>
      <c r="H70" s="5" t="inlineStr"/>
      <c r="I70" s="4" t="inlineStr"/>
      <c r="J70" s="4" t="inlineStr"/>
      <c r="K70" s="5" t="inlineStr"/>
      <c r="L70" s="4" t="inlineStr"/>
      <c r="M70" s="4" t="inlineStr"/>
      <c r="N70" s="5" t="inlineStr"/>
      <c r="O70" s="4" t="inlineStr"/>
      <c r="P70" s="4" t="inlineStr"/>
      <c r="Q70" s="5" t="inlineStr"/>
      <c r="R70" s="4" t="inlineStr"/>
      <c r="S70" s="4" t="inlineStr"/>
      <c r="T70" s="5" t="inlineStr"/>
      <c r="U70" s="4" t="inlineStr"/>
      <c r="V70" s="4" t="inlineStr"/>
      <c r="W70" s="5" t="inlineStr"/>
      <c r="X70" s="4" t="inlineStr"/>
      <c r="Y70" s="4" t="inlineStr"/>
      <c r="Z70" s="5" t="inlineStr"/>
      <c r="AA70" s="4" t="inlineStr"/>
      <c r="AB70" s="4" t="inlineStr"/>
      <c r="AC70" s="5" t="inlineStr"/>
      <c r="AD70" s="4" t="inlineStr"/>
      <c r="AE70" s="4" t="inlineStr"/>
      <c r="AF70" s="5" t="inlineStr"/>
      <c r="AG70" s="4" t="inlineStr"/>
      <c r="AH70" s="4" t="inlineStr"/>
      <c r="AI70" s="5" t="inlineStr"/>
      <c r="AJ70" s="4" t="inlineStr"/>
      <c r="AK70" s="4" t="inlineStr"/>
      <c r="AL70" s="5" t="inlineStr"/>
      <c r="AM70" s="4" t="inlineStr"/>
      <c r="AN70" s="4" t="inlineStr"/>
      <c r="AO70" s="5" t="n">
        <v>0</v>
      </c>
      <c r="AP70" s="4" t="n">
        <v>16</v>
      </c>
      <c r="AQ70" s="4" t="inlineStr">
        <is>
          <t>16.0 Hours Remaining</t>
        </is>
      </c>
      <c r="AR70" s="6" t="inlineStr">
        <is>
          <t>0.0%</t>
        </is>
      </c>
      <c r="AS70" s="7" t="inlineStr">
        <is>
          <t>Critical</t>
        </is>
      </c>
      <c r="AT70" s="4" t="inlineStr">
        <is>
          <t>QA</t>
        </is>
      </c>
      <c r="AU70" s="5" t="inlineStr">
        <is>
          <t>Prakash Padukhone Muthiah</t>
        </is>
      </c>
      <c r="AV70" s="4" t="inlineStr">
        <is>
          <t>0.0%</t>
        </is>
      </c>
    </row>
    <row r="71" ht="36" customHeight="1">
      <c r="A71" s="4" t="n">
        <v>53</v>
      </c>
      <c r="B71" s="4" t="inlineStr">
        <is>
          <t>17</t>
        </is>
      </c>
      <c r="C71" s="5" t="inlineStr">
        <is>
          <t>Balraj .</t>
        </is>
      </c>
      <c r="D71" s="4" t="inlineStr"/>
      <c r="E71" s="5" t="inlineStr"/>
      <c r="F71" s="4" t="inlineStr"/>
      <c r="G71" s="4" t="inlineStr"/>
      <c r="H71" s="5" t="inlineStr"/>
      <c r="I71" s="4" t="inlineStr"/>
      <c r="J71" s="4" t="inlineStr"/>
      <c r="K71" s="5" t="inlineStr"/>
      <c r="L71" s="4" t="inlineStr"/>
      <c r="M71" s="4" t="inlineStr"/>
      <c r="N71" s="5" t="inlineStr"/>
      <c r="O71" s="4" t="inlineStr"/>
      <c r="P71" s="4" t="inlineStr"/>
      <c r="Q71" s="5" t="inlineStr"/>
      <c r="R71" s="4" t="inlineStr"/>
      <c r="S71" s="4" t="inlineStr"/>
      <c r="T71" s="5" t="inlineStr"/>
      <c r="U71" s="4" t="inlineStr"/>
      <c r="V71" s="4" t="inlineStr"/>
      <c r="W71" s="5" t="inlineStr"/>
      <c r="X71" s="4" t="inlineStr"/>
      <c r="Y71" s="4" t="inlineStr"/>
      <c r="Z71" s="5" t="inlineStr"/>
      <c r="AA71" s="4" t="inlineStr"/>
      <c r="AB71" s="4" t="inlineStr"/>
      <c r="AC71" s="5" t="inlineStr"/>
      <c r="AD71" s="4" t="inlineStr"/>
      <c r="AE71" s="4" t="inlineStr"/>
      <c r="AF71" s="5" t="inlineStr"/>
      <c r="AG71" s="4" t="inlineStr"/>
      <c r="AH71" s="4" t="inlineStr"/>
      <c r="AI71" s="5" t="inlineStr"/>
      <c r="AJ71" s="4" t="inlineStr"/>
      <c r="AK71" s="4" t="inlineStr"/>
      <c r="AL71" s="5" t="inlineStr"/>
      <c r="AM71" s="4" t="inlineStr"/>
      <c r="AN71" s="4" t="inlineStr"/>
      <c r="AO71" s="5" t="n">
        <v>0</v>
      </c>
      <c r="AP71" s="4" t="n">
        <v>16</v>
      </c>
      <c r="AQ71" s="4" t="inlineStr">
        <is>
          <t>16.0 Hours Remaining</t>
        </is>
      </c>
      <c r="AR71" s="6" t="inlineStr">
        <is>
          <t>0.0%</t>
        </is>
      </c>
      <c r="AS71" s="7" t="inlineStr">
        <is>
          <t>Critical</t>
        </is>
      </c>
      <c r="AT71" s="4" t="inlineStr">
        <is>
          <t>QA</t>
        </is>
      </c>
      <c r="AU71" s="5" t="inlineStr">
        <is>
          <t>Srinivasan Beeman</t>
        </is>
      </c>
      <c r="AV71" s="4" t="inlineStr">
        <is>
          <t>0.0%</t>
        </is>
      </c>
    </row>
    <row r="72" ht="36" customHeight="1">
      <c r="A72" s="4" t="n">
        <v>54</v>
      </c>
      <c r="B72" s="4" t="inlineStr">
        <is>
          <t>24</t>
        </is>
      </c>
      <c r="C72" s="5" t="inlineStr">
        <is>
          <t>Arun Kumar Murugan</t>
        </is>
      </c>
      <c r="D72" s="4" t="inlineStr"/>
      <c r="E72" s="5" t="inlineStr"/>
      <c r="F72" s="4" t="inlineStr"/>
      <c r="G72" s="4" t="inlineStr"/>
      <c r="H72" s="5" t="inlineStr"/>
      <c r="I72" s="4" t="inlineStr"/>
      <c r="J72" s="4" t="inlineStr"/>
      <c r="K72" s="5" t="inlineStr"/>
      <c r="L72" s="4" t="inlineStr"/>
      <c r="M72" s="4" t="inlineStr"/>
      <c r="N72" s="5" t="inlineStr"/>
      <c r="O72" s="4" t="inlineStr"/>
      <c r="P72" s="4" t="inlineStr"/>
      <c r="Q72" s="5" t="inlineStr"/>
      <c r="R72" s="4" t="inlineStr"/>
      <c r="S72" s="4" t="inlineStr"/>
      <c r="T72" s="5" t="inlineStr"/>
      <c r="U72" s="4" t="inlineStr"/>
      <c r="V72" s="4" t="inlineStr"/>
      <c r="W72" s="5" t="inlineStr"/>
      <c r="X72" s="4" t="inlineStr"/>
      <c r="Y72" s="4" t="inlineStr"/>
      <c r="Z72" s="5" t="inlineStr"/>
      <c r="AA72" s="4" t="inlineStr"/>
      <c r="AB72" s="4" t="inlineStr"/>
      <c r="AC72" s="5" t="inlineStr"/>
      <c r="AD72" s="4" t="inlineStr"/>
      <c r="AE72" s="4" t="inlineStr"/>
      <c r="AF72" s="5" t="inlineStr"/>
      <c r="AG72" s="4" t="inlineStr"/>
      <c r="AH72" s="4" t="inlineStr"/>
      <c r="AI72" s="5" t="inlineStr"/>
      <c r="AJ72" s="4" t="inlineStr"/>
      <c r="AK72" s="4" t="inlineStr"/>
      <c r="AL72" s="5" t="inlineStr"/>
      <c r="AM72" s="4" t="inlineStr"/>
      <c r="AN72" s="4" t="inlineStr"/>
      <c r="AO72" s="5" t="n">
        <v>0</v>
      </c>
      <c r="AP72" s="4" t="n">
        <v>16</v>
      </c>
      <c r="AQ72" s="4" t="inlineStr">
        <is>
          <t>16.0 Hours Remaining</t>
        </is>
      </c>
      <c r="AR72" s="6" t="inlineStr">
        <is>
          <t>0.0%</t>
        </is>
      </c>
      <c r="AS72" s="7" t="inlineStr">
        <is>
          <t>Critical</t>
        </is>
      </c>
      <c r="AT72" s="4" t="inlineStr">
        <is>
          <t>QA</t>
        </is>
      </c>
      <c r="AU72" s="5" t="inlineStr">
        <is>
          <t>Srinivasan Beeman</t>
        </is>
      </c>
      <c r="AV72" s="4" t="inlineStr">
        <is>
          <t>0.0%</t>
        </is>
      </c>
    </row>
    <row r="73" ht="36" customHeight="1">
      <c r="A73" s="4" t="n">
        <v>55</v>
      </c>
      <c r="B73" s="4" t="inlineStr">
        <is>
          <t>29</t>
        </is>
      </c>
      <c r="C73" s="5" t="inlineStr">
        <is>
          <t>Dinesh Raja Muthulakshmanan</t>
        </is>
      </c>
      <c r="D73" s="4" t="inlineStr"/>
      <c r="E73" s="5" t="inlineStr"/>
      <c r="F73" s="4" t="inlineStr"/>
      <c r="G73" s="4" t="inlineStr"/>
      <c r="H73" s="5" t="inlineStr"/>
      <c r="I73" s="4" t="inlineStr"/>
      <c r="J73" s="4" t="inlineStr"/>
      <c r="K73" s="5" t="inlineStr"/>
      <c r="L73" s="4" t="inlineStr"/>
      <c r="M73" s="4" t="inlineStr"/>
      <c r="N73" s="5" t="inlineStr"/>
      <c r="O73" s="4" t="inlineStr"/>
      <c r="P73" s="4" t="inlineStr"/>
      <c r="Q73" s="5" t="inlineStr"/>
      <c r="R73" s="4" t="inlineStr"/>
      <c r="S73" s="4" t="inlineStr"/>
      <c r="T73" s="5" t="inlineStr"/>
      <c r="U73" s="4" t="inlineStr"/>
      <c r="V73" s="4" t="inlineStr"/>
      <c r="W73" s="5" t="inlineStr"/>
      <c r="X73" s="4" t="inlineStr"/>
      <c r="Y73" s="4" t="inlineStr"/>
      <c r="Z73" s="5" t="inlineStr"/>
      <c r="AA73" s="4" t="inlineStr"/>
      <c r="AB73" s="4" t="inlineStr"/>
      <c r="AC73" s="5" t="inlineStr"/>
      <c r="AD73" s="4" t="inlineStr"/>
      <c r="AE73" s="4" t="inlineStr"/>
      <c r="AF73" s="5" t="inlineStr"/>
      <c r="AG73" s="4" t="inlineStr"/>
      <c r="AH73" s="4" t="inlineStr"/>
      <c r="AI73" s="5" t="inlineStr"/>
      <c r="AJ73" s="4" t="inlineStr"/>
      <c r="AK73" s="4" t="inlineStr"/>
      <c r="AL73" s="5" t="inlineStr"/>
      <c r="AM73" s="4" t="inlineStr"/>
      <c r="AN73" s="4" t="inlineStr"/>
      <c r="AO73" s="5" t="n">
        <v>0</v>
      </c>
      <c r="AP73" s="4" t="n">
        <v>16</v>
      </c>
      <c r="AQ73" s="4" t="inlineStr">
        <is>
          <t>16.0 Hours Remaining</t>
        </is>
      </c>
      <c r="AR73" s="6" t="inlineStr">
        <is>
          <t>0.0%</t>
        </is>
      </c>
      <c r="AS73" s="7" t="inlineStr">
        <is>
          <t>Critical</t>
        </is>
      </c>
      <c r="AT73" s="4" t="inlineStr">
        <is>
          <t>QA</t>
        </is>
      </c>
      <c r="AU73" s="5" t="inlineStr">
        <is>
          <t>Srinivasan Beeman</t>
        </is>
      </c>
      <c r="AV73" s="4" t="inlineStr">
        <is>
          <t>0.0%</t>
        </is>
      </c>
    </row>
    <row r="74" ht="36" customHeight="1">
      <c r="A74" s="4" t="n">
        <v>56</v>
      </c>
      <c r="B74" s="4" t="inlineStr">
        <is>
          <t>35</t>
        </is>
      </c>
      <c r="C74" s="5" t="inlineStr">
        <is>
          <t>Manoj Mani</t>
        </is>
      </c>
      <c r="D74" s="4" t="inlineStr"/>
      <c r="E74" s="5" t="inlineStr"/>
      <c r="F74" s="4" t="inlineStr"/>
      <c r="G74" s="4" t="inlineStr"/>
      <c r="H74" s="5" t="inlineStr"/>
      <c r="I74" s="4" t="inlineStr"/>
      <c r="J74" s="4" t="inlineStr"/>
      <c r="K74" s="5" t="inlineStr"/>
      <c r="L74" s="4" t="inlineStr"/>
      <c r="M74" s="4" t="inlineStr"/>
      <c r="N74" s="5" t="inlineStr"/>
      <c r="O74" s="4" t="inlineStr"/>
      <c r="P74" s="4" t="inlineStr"/>
      <c r="Q74" s="5" t="inlineStr"/>
      <c r="R74" s="4" t="inlineStr"/>
      <c r="S74" s="4" t="inlineStr"/>
      <c r="T74" s="5" t="inlineStr"/>
      <c r="U74" s="4" t="inlineStr"/>
      <c r="V74" s="4" t="inlineStr"/>
      <c r="W74" s="5" t="inlineStr"/>
      <c r="X74" s="4" t="inlineStr"/>
      <c r="Y74" s="4" t="inlineStr"/>
      <c r="Z74" s="5" t="inlineStr"/>
      <c r="AA74" s="4" t="inlineStr"/>
      <c r="AB74" s="4" t="inlineStr"/>
      <c r="AC74" s="5" t="inlineStr"/>
      <c r="AD74" s="4" t="inlineStr"/>
      <c r="AE74" s="4" t="inlineStr"/>
      <c r="AF74" s="5" t="inlineStr"/>
      <c r="AG74" s="4" t="inlineStr"/>
      <c r="AH74" s="4" t="inlineStr"/>
      <c r="AI74" s="5" t="inlineStr"/>
      <c r="AJ74" s="4" t="inlineStr"/>
      <c r="AK74" s="4" t="inlineStr"/>
      <c r="AL74" s="5" t="inlineStr"/>
      <c r="AM74" s="4" t="inlineStr"/>
      <c r="AN74" s="4" t="inlineStr"/>
      <c r="AO74" s="5" t="n">
        <v>0</v>
      </c>
      <c r="AP74" s="4" t="n">
        <v>16</v>
      </c>
      <c r="AQ74" s="4" t="inlineStr">
        <is>
          <t>16.0 Hours Remaining</t>
        </is>
      </c>
      <c r="AR74" s="6" t="inlineStr">
        <is>
          <t>0.0%</t>
        </is>
      </c>
      <c r="AS74" s="7" t="inlineStr">
        <is>
          <t>Critical</t>
        </is>
      </c>
      <c r="AT74" s="4" t="inlineStr">
        <is>
          <t>QA</t>
        </is>
      </c>
      <c r="AU74" s="5" t="inlineStr">
        <is>
          <t>Srinivasan Beeman</t>
        </is>
      </c>
      <c r="AV74" s="4" t="inlineStr">
        <is>
          <t>0.0%</t>
        </is>
      </c>
    </row>
    <row r="75" ht="36" customHeight="1">
      <c r="A75" s="4" t="n">
        <v>57</v>
      </c>
      <c r="B75" s="4" t="inlineStr">
        <is>
          <t>37</t>
        </is>
      </c>
      <c r="C75" s="5" t="inlineStr">
        <is>
          <t>Muthukrishnan Perumal</t>
        </is>
      </c>
      <c r="D75" s="4" t="inlineStr"/>
      <c r="E75" s="5" t="inlineStr"/>
      <c r="F75" s="4" t="inlineStr"/>
      <c r="G75" s="4" t="inlineStr"/>
      <c r="H75" s="5" t="inlineStr"/>
      <c r="I75" s="4" t="inlineStr"/>
      <c r="J75" s="4" t="inlineStr"/>
      <c r="K75" s="5" t="inlineStr"/>
      <c r="L75" s="4" t="inlineStr"/>
      <c r="M75" s="4" t="inlineStr"/>
      <c r="N75" s="5" t="inlineStr"/>
      <c r="O75" s="4" t="inlineStr"/>
      <c r="P75" s="4" t="inlineStr"/>
      <c r="Q75" s="5" t="inlineStr"/>
      <c r="R75" s="4" t="inlineStr"/>
      <c r="S75" s="4" t="inlineStr"/>
      <c r="T75" s="5" t="inlineStr"/>
      <c r="U75" s="4" t="inlineStr"/>
      <c r="V75" s="4" t="inlineStr"/>
      <c r="W75" s="5" t="inlineStr"/>
      <c r="X75" s="4" t="inlineStr"/>
      <c r="Y75" s="4" t="inlineStr"/>
      <c r="Z75" s="5" t="inlineStr"/>
      <c r="AA75" s="4" t="inlineStr"/>
      <c r="AB75" s="4" t="inlineStr"/>
      <c r="AC75" s="5" t="inlineStr"/>
      <c r="AD75" s="4" t="inlineStr"/>
      <c r="AE75" s="4" t="inlineStr"/>
      <c r="AF75" s="5" t="inlineStr"/>
      <c r="AG75" s="4" t="inlineStr"/>
      <c r="AH75" s="4" t="inlineStr"/>
      <c r="AI75" s="5" t="inlineStr"/>
      <c r="AJ75" s="4" t="inlineStr"/>
      <c r="AK75" s="4" t="inlineStr"/>
      <c r="AL75" s="5" t="inlineStr"/>
      <c r="AM75" s="4" t="inlineStr"/>
      <c r="AN75" s="4" t="inlineStr"/>
      <c r="AO75" s="5" t="n">
        <v>0</v>
      </c>
      <c r="AP75" s="4" t="n">
        <v>16</v>
      </c>
      <c r="AQ75" s="4" t="inlineStr">
        <is>
          <t>16.0 Hours Remaining</t>
        </is>
      </c>
      <c r="AR75" s="6" t="inlineStr">
        <is>
          <t>0.0%</t>
        </is>
      </c>
      <c r="AS75" s="7" t="inlineStr">
        <is>
          <t>Critical</t>
        </is>
      </c>
      <c r="AT75" s="4" t="inlineStr">
        <is>
          <t>QA</t>
        </is>
      </c>
      <c r="AU75" s="5" t="inlineStr">
        <is>
          <t>Nethaji Raja</t>
        </is>
      </c>
      <c r="AV75" s="4" t="inlineStr">
        <is>
          <t>0.0%</t>
        </is>
      </c>
    </row>
    <row r="76" ht="36" customHeight="1">
      <c r="A76" s="4" t="n">
        <v>58</v>
      </c>
      <c r="B76" s="4" t="inlineStr">
        <is>
          <t>42</t>
        </is>
      </c>
      <c r="C76" s="5" t="inlineStr">
        <is>
          <t>Santhoshkumar Murugan</t>
        </is>
      </c>
      <c r="D76" s="4" t="inlineStr"/>
      <c r="E76" s="5" t="inlineStr"/>
      <c r="F76" s="4" t="inlineStr"/>
      <c r="G76" s="4" t="inlineStr"/>
      <c r="H76" s="5" t="inlineStr"/>
      <c r="I76" s="4" t="inlineStr"/>
      <c r="J76" s="4" t="inlineStr"/>
      <c r="K76" s="5" t="inlineStr"/>
      <c r="L76" s="4" t="inlineStr"/>
      <c r="M76" s="4" t="inlineStr"/>
      <c r="N76" s="5" t="inlineStr"/>
      <c r="O76" s="4" t="inlineStr"/>
      <c r="P76" s="4" t="inlineStr"/>
      <c r="Q76" s="5" t="inlineStr"/>
      <c r="R76" s="4" t="inlineStr"/>
      <c r="S76" s="4" t="inlineStr"/>
      <c r="T76" s="5" t="inlineStr"/>
      <c r="U76" s="4" t="inlineStr"/>
      <c r="V76" s="4" t="inlineStr"/>
      <c r="W76" s="5" t="inlineStr"/>
      <c r="X76" s="4" t="inlineStr"/>
      <c r="Y76" s="4" t="inlineStr"/>
      <c r="Z76" s="5" t="inlineStr"/>
      <c r="AA76" s="4" t="inlineStr"/>
      <c r="AB76" s="4" t="inlineStr"/>
      <c r="AC76" s="5" t="inlineStr"/>
      <c r="AD76" s="4" t="inlineStr"/>
      <c r="AE76" s="4" t="inlineStr"/>
      <c r="AF76" s="5" t="inlineStr"/>
      <c r="AG76" s="4" t="inlineStr"/>
      <c r="AH76" s="4" t="inlineStr"/>
      <c r="AI76" s="5" t="inlineStr"/>
      <c r="AJ76" s="4" t="inlineStr"/>
      <c r="AK76" s="4" t="inlineStr"/>
      <c r="AL76" s="5" t="inlineStr"/>
      <c r="AM76" s="4" t="inlineStr"/>
      <c r="AN76" s="4" t="inlineStr"/>
      <c r="AO76" s="5" t="n">
        <v>0</v>
      </c>
      <c r="AP76" s="4" t="n">
        <v>16</v>
      </c>
      <c r="AQ76" s="4" t="inlineStr">
        <is>
          <t>16.0 Hours Remaining</t>
        </is>
      </c>
      <c r="AR76" s="6" t="inlineStr">
        <is>
          <t>0.0%</t>
        </is>
      </c>
      <c r="AS76" s="7" t="inlineStr">
        <is>
          <t>Critical</t>
        </is>
      </c>
      <c r="AT76" s="4" t="inlineStr">
        <is>
          <t>QA</t>
        </is>
      </c>
      <c r="AU76" s="5" t="inlineStr">
        <is>
          <t>Srinivasan Beeman</t>
        </is>
      </c>
      <c r="AV76" s="4" t="inlineStr">
        <is>
          <t>0.0%</t>
        </is>
      </c>
    </row>
    <row r="77" ht="36" customHeight="1">
      <c r="A77" s="4" t="n">
        <v>59</v>
      </c>
      <c r="B77" s="4" t="inlineStr">
        <is>
          <t>44</t>
        </is>
      </c>
      <c r="C77" s="5" t="inlineStr">
        <is>
          <t>Harsora Rajan Bakulbhai</t>
        </is>
      </c>
      <c r="D77" s="4" t="inlineStr"/>
      <c r="E77" s="5" t="inlineStr"/>
      <c r="F77" s="4" t="inlineStr"/>
      <c r="G77" s="4" t="inlineStr"/>
      <c r="H77" s="5" t="inlineStr"/>
      <c r="I77" s="4" t="inlineStr"/>
      <c r="J77" s="4" t="inlineStr"/>
      <c r="K77" s="5" t="inlineStr"/>
      <c r="L77" s="4" t="inlineStr"/>
      <c r="M77" s="4" t="inlineStr"/>
      <c r="N77" s="5" t="inlineStr"/>
      <c r="O77" s="4" t="inlineStr"/>
      <c r="P77" s="4" t="inlineStr"/>
      <c r="Q77" s="5" t="inlineStr"/>
      <c r="R77" s="4" t="inlineStr"/>
      <c r="S77" s="4" t="inlineStr"/>
      <c r="T77" s="5" t="inlineStr"/>
      <c r="U77" s="4" t="inlineStr"/>
      <c r="V77" s="4" t="inlineStr"/>
      <c r="W77" s="5" t="inlineStr"/>
      <c r="X77" s="4" t="inlineStr"/>
      <c r="Y77" s="4" t="inlineStr"/>
      <c r="Z77" s="5" t="inlineStr"/>
      <c r="AA77" s="4" t="inlineStr"/>
      <c r="AB77" s="4" t="inlineStr"/>
      <c r="AC77" s="5" t="inlineStr"/>
      <c r="AD77" s="4" t="inlineStr"/>
      <c r="AE77" s="4" t="inlineStr"/>
      <c r="AF77" s="5" t="inlineStr"/>
      <c r="AG77" s="4" t="inlineStr"/>
      <c r="AH77" s="4" t="inlineStr"/>
      <c r="AI77" s="5" t="inlineStr"/>
      <c r="AJ77" s="4" t="inlineStr"/>
      <c r="AK77" s="4" t="inlineStr"/>
      <c r="AL77" s="5" t="inlineStr"/>
      <c r="AM77" s="4" t="inlineStr"/>
      <c r="AN77" s="4" t="inlineStr"/>
      <c r="AO77" s="5" t="n">
        <v>0</v>
      </c>
      <c r="AP77" s="4" t="n">
        <v>16</v>
      </c>
      <c r="AQ77" s="4" t="inlineStr">
        <is>
          <t>16.0 Hours Remaining</t>
        </is>
      </c>
      <c r="AR77" s="6" t="inlineStr">
        <is>
          <t>0.0%</t>
        </is>
      </c>
      <c r="AS77" s="7" t="inlineStr">
        <is>
          <t>Critical</t>
        </is>
      </c>
      <c r="AT77" s="4" t="inlineStr">
        <is>
          <t>QA</t>
        </is>
      </c>
      <c r="AU77" s="5" t="inlineStr">
        <is>
          <t>Vinit Praful Karia</t>
        </is>
      </c>
      <c r="AV77" s="4" t="inlineStr">
        <is>
          <t>0.0%</t>
        </is>
      </c>
    </row>
    <row r="78" ht="36" customHeight="1">
      <c r="A78" s="4" t="n">
        <v>60</v>
      </c>
      <c r="B78" s="4" t="inlineStr">
        <is>
          <t>50</t>
        </is>
      </c>
      <c r="C78" s="5" t="inlineStr">
        <is>
          <t>Shajahan C</t>
        </is>
      </c>
      <c r="D78" s="4" t="inlineStr"/>
      <c r="E78" s="5" t="inlineStr"/>
      <c r="F78" s="4" t="inlineStr"/>
      <c r="G78" s="4" t="inlineStr"/>
      <c r="H78" s="5" t="inlineStr"/>
      <c r="I78" s="4" t="inlineStr"/>
      <c r="J78" s="4" t="inlineStr"/>
      <c r="K78" s="5" t="inlineStr"/>
      <c r="L78" s="4" t="inlineStr"/>
      <c r="M78" s="4" t="inlineStr"/>
      <c r="N78" s="5" t="inlineStr"/>
      <c r="O78" s="4" t="inlineStr"/>
      <c r="P78" s="4" t="inlineStr"/>
      <c r="Q78" s="5" t="inlineStr"/>
      <c r="R78" s="4" t="inlineStr"/>
      <c r="S78" s="4" t="inlineStr"/>
      <c r="T78" s="5" t="inlineStr"/>
      <c r="U78" s="4" t="inlineStr"/>
      <c r="V78" s="4" t="inlineStr"/>
      <c r="W78" s="5" t="inlineStr"/>
      <c r="X78" s="4" t="inlineStr"/>
      <c r="Y78" s="4" t="inlineStr"/>
      <c r="Z78" s="5" t="inlineStr"/>
      <c r="AA78" s="4" t="inlineStr"/>
      <c r="AB78" s="4" t="inlineStr"/>
      <c r="AC78" s="5" t="inlineStr"/>
      <c r="AD78" s="4" t="inlineStr"/>
      <c r="AE78" s="4" t="inlineStr"/>
      <c r="AF78" s="5" t="inlineStr"/>
      <c r="AG78" s="4" t="inlineStr"/>
      <c r="AH78" s="4" t="inlineStr"/>
      <c r="AI78" s="5" t="inlineStr"/>
      <c r="AJ78" s="4" t="inlineStr"/>
      <c r="AK78" s="4" t="inlineStr"/>
      <c r="AL78" s="5" t="inlineStr"/>
      <c r="AM78" s="4" t="inlineStr"/>
      <c r="AN78" s="4" t="inlineStr"/>
      <c r="AO78" s="5" t="n">
        <v>0</v>
      </c>
      <c r="AP78" s="4" t="n">
        <v>16</v>
      </c>
      <c r="AQ78" s="4" t="inlineStr">
        <is>
          <t>16.0 Hours Remaining</t>
        </is>
      </c>
      <c r="AR78" s="6" t="inlineStr">
        <is>
          <t>0.0%</t>
        </is>
      </c>
      <c r="AS78" s="7" t="inlineStr">
        <is>
          <t>Critical</t>
        </is>
      </c>
      <c r="AT78" s="4" t="inlineStr">
        <is>
          <t>QA</t>
        </is>
      </c>
      <c r="AU78" s="5" t="inlineStr">
        <is>
          <t>Srinivasan Beeman</t>
        </is>
      </c>
      <c r="AV78" s="4" t="inlineStr">
        <is>
          <t>0.0%</t>
        </is>
      </c>
    </row>
    <row r="79" ht="36" customHeight="1">
      <c r="A79" s="4" t="n">
        <v>61</v>
      </c>
      <c r="B79" s="4" t="inlineStr">
        <is>
          <t>54</t>
        </is>
      </c>
      <c r="C79" s="5" t="inlineStr">
        <is>
          <t>Hiren Rajeshbhai Chauhan</t>
        </is>
      </c>
      <c r="D79" s="4" t="inlineStr"/>
      <c r="E79" s="5" t="inlineStr"/>
      <c r="F79" s="4" t="inlineStr"/>
      <c r="G79" s="4" t="inlineStr"/>
      <c r="H79" s="5" t="inlineStr"/>
      <c r="I79" s="4" t="inlineStr"/>
      <c r="J79" s="4" t="inlineStr"/>
      <c r="K79" s="5" t="inlineStr"/>
      <c r="L79" s="4" t="inlineStr"/>
      <c r="M79" s="4" t="inlineStr"/>
      <c r="N79" s="5" t="inlineStr"/>
      <c r="O79" s="4" t="inlineStr"/>
      <c r="P79" s="4" t="inlineStr"/>
      <c r="Q79" s="5" t="inlineStr"/>
      <c r="R79" s="4" t="inlineStr"/>
      <c r="S79" s="4" t="inlineStr"/>
      <c r="T79" s="5" t="inlineStr"/>
      <c r="U79" s="4" t="inlineStr"/>
      <c r="V79" s="4" t="inlineStr"/>
      <c r="W79" s="5" t="inlineStr"/>
      <c r="X79" s="4" t="inlineStr"/>
      <c r="Y79" s="4" t="inlineStr"/>
      <c r="Z79" s="5" t="inlineStr"/>
      <c r="AA79" s="4" t="inlineStr"/>
      <c r="AB79" s="4" t="inlineStr"/>
      <c r="AC79" s="5" t="inlineStr"/>
      <c r="AD79" s="4" t="inlineStr"/>
      <c r="AE79" s="4" t="inlineStr"/>
      <c r="AF79" s="5" t="inlineStr"/>
      <c r="AG79" s="4" t="inlineStr"/>
      <c r="AH79" s="4" t="inlineStr"/>
      <c r="AI79" s="5" t="inlineStr"/>
      <c r="AJ79" s="4" t="inlineStr"/>
      <c r="AK79" s="4" t="inlineStr"/>
      <c r="AL79" s="5" t="inlineStr"/>
      <c r="AM79" s="4" t="inlineStr"/>
      <c r="AN79" s="4" t="inlineStr"/>
      <c r="AO79" s="5" t="n">
        <v>0</v>
      </c>
      <c r="AP79" s="4" t="n">
        <v>16</v>
      </c>
      <c r="AQ79" s="4" t="inlineStr">
        <is>
          <t>16.0 Hours Remaining</t>
        </is>
      </c>
      <c r="AR79" s="6" t="inlineStr">
        <is>
          <t>0.0%</t>
        </is>
      </c>
      <c r="AS79" s="7" t="inlineStr">
        <is>
          <t>Critical</t>
        </is>
      </c>
      <c r="AT79" s="4" t="inlineStr">
        <is>
          <t>QA</t>
        </is>
      </c>
      <c r="AU79" s="5" t="inlineStr">
        <is>
          <t>Vinit Praful Karia</t>
        </is>
      </c>
      <c r="AV79" s="4" t="inlineStr">
        <is>
          <t>0.0%</t>
        </is>
      </c>
    </row>
    <row r="80" ht="36" customHeight="1">
      <c r="A80" s="4" t="n">
        <v>62</v>
      </c>
      <c r="B80" s="4" t="inlineStr">
        <is>
          <t>55</t>
        </is>
      </c>
      <c r="C80" s="5" t="inlineStr">
        <is>
          <t>Dhori Vikas Nanajibhai</t>
        </is>
      </c>
      <c r="D80" s="4" t="inlineStr"/>
      <c r="E80" s="5" t="inlineStr"/>
      <c r="F80" s="4" t="inlineStr"/>
      <c r="G80" s="4" t="inlineStr"/>
      <c r="H80" s="5" t="inlineStr"/>
      <c r="I80" s="4" t="inlineStr"/>
      <c r="J80" s="4" t="inlineStr"/>
      <c r="K80" s="5" t="inlineStr"/>
      <c r="L80" s="4" t="inlineStr"/>
      <c r="M80" s="4" t="inlineStr"/>
      <c r="N80" s="5" t="inlineStr"/>
      <c r="O80" s="4" t="inlineStr"/>
      <c r="P80" s="4" t="inlineStr"/>
      <c r="Q80" s="5" t="inlineStr"/>
      <c r="R80" s="4" t="inlineStr"/>
      <c r="S80" s="4" t="inlineStr"/>
      <c r="T80" s="5" t="inlineStr"/>
      <c r="U80" s="4" t="inlineStr"/>
      <c r="V80" s="4" t="inlineStr"/>
      <c r="W80" s="5" t="inlineStr"/>
      <c r="X80" s="4" t="inlineStr"/>
      <c r="Y80" s="4" t="inlineStr"/>
      <c r="Z80" s="5" t="inlineStr"/>
      <c r="AA80" s="4" t="inlineStr"/>
      <c r="AB80" s="4" t="inlineStr"/>
      <c r="AC80" s="5" t="inlineStr"/>
      <c r="AD80" s="4" t="inlineStr"/>
      <c r="AE80" s="4" t="inlineStr"/>
      <c r="AF80" s="5" t="inlineStr"/>
      <c r="AG80" s="4" t="inlineStr"/>
      <c r="AH80" s="4" t="inlineStr"/>
      <c r="AI80" s="5" t="inlineStr"/>
      <c r="AJ80" s="4" t="inlineStr"/>
      <c r="AK80" s="4" t="inlineStr"/>
      <c r="AL80" s="5" t="inlineStr"/>
      <c r="AM80" s="4" t="inlineStr"/>
      <c r="AN80" s="4" t="inlineStr"/>
      <c r="AO80" s="5" t="n">
        <v>0</v>
      </c>
      <c r="AP80" s="4" t="n">
        <v>16</v>
      </c>
      <c r="AQ80" s="4" t="inlineStr">
        <is>
          <t>16.0 Hours Remaining</t>
        </is>
      </c>
      <c r="AR80" s="6" t="inlineStr">
        <is>
          <t>0.0%</t>
        </is>
      </c>
      <c r="AS80" s="7" t="inlineStr">
        <is>
          <t>Critical</t>
        </is>
      </c>
      <c r="AT80" s="4" t="inlineStr">
        <is>
          <t>QA</t>
        </is>
      </c>
      <c r="AU80" s="5" t="inlineStr">
        <is>
          <t>Vinit Praful Karia</t>
        </is>
      </c>
      <c r="AV80" s="4" t="inlineStr">
        <is>
          <t>0.0%</t>
        </is>
      </c>
    </row>
    <row r="81" ht="36" customHeight="1">
      <c r="A81" s="4" t="n">
        <v>63</v>
      </c>
      <c r="B81" s="4" t="inlineStr">
        <is>
          <t>57</t>
        </is>
      </c>
      <c r="C81" s="5" t="inlineStr">
        <is>
          <t>Logeshkumar Mohan</t>
        </is>
      </c>
      <c r="D81" s="4" t="inlineStr"/>
      <c r="E81" s="5" t="inlineStr"/>
      <c r="F81" s="4" t="inlineStr"/>
      <c r="G81" s="4" t="inlineStr"/>
      <c r="H81" s="5" t="inlineStr"/>
      <c r="I81" s="4" t="inlineStr"/>
      <c r="J81" s="4" t="inlineStr"/>
      <c r="K81" s="5" t="inlineStr"/>
      <c r="L81" s="4" t="inlineStr"/>
      <c r="M81" s="4" t="inlineStr"/>
      <c r="N81" s="5" t="inlineStr"/>
      <c r="O81" s="4" t="inlineStr"/>
      <c r="P81" s="4" t="inlineStr"/>
      <c r="Q81" s="5" t="inlineStr"/>
      <c r="R81" s="4" t="inlineStr"/>
      <c r="S81" s="4" t="inlineStr"/>
      <c r="T81" s="5" t="inlineStr"/>
      <c r="U81" s="4" t="inlineStr"/>
      <c r="V81" s="4" t="inlineStr"/>
      <c r="W81" s="5" t="inlineStr"/>
      <c r="X81" s="4" t="inlineStr"/>
      <c r="Y81" s="4" t="inlineStr"/>
      <c r="Z81" s="5" t="inlineStr"/>
      <c r="AA81" s="4" t="inlineStr"/>
      <c r="AB81" s="4" t="inlineStr"/>
      <c r="AC81" s="5" t="inlineStr"/>
      <c r="AD81" s="4" t="inlineStr"/>
      <c r="AE81" s="4" t="inlineStr"/>
      <c r="AF81" s="5" t="inlineStr"/>
      <c r="AG81" s="4" t="inlineStr"/>
      <c r="AH81" s="4" t="inlineStr"/>
      <c r="AI81" s="5" t="inlineStr"/>
      <c r="AJ81" s="4" t="inlineStr"/>
      <c r="AK81" s="4" t="inlineStr"/>
      <c r="AL81" s="5" t="inlineStr"/>
      <c r="AM81" s="4" t="inlineStr"/>
      <c r="AN81" s="4" t="inlineStr"/>
      <c r="AO81" s="5" t="n">
        <v>0</v>
      </c>
      <c r="AP81" s="4" t="n">
        <v>16</v>
      </c>
      <c r="AQ81" s="4" t="inlineStr">
        <is>
          <t>16.0 Hours Remaining</t>
        </is>
      </c>
      <c r="AR81" s="6" t="inlineStr">
        <is>
          <t>0.0%</t>
        </is>
      </c>
      <c r="AS81" s="7" t="inlineStr">
        <is>
          <t>Critical</t>
        </is>
      </c>
      <c r="AT81" s="4" t="inlineStr">
        <is>
          <t>QA</t>
        </is>
      </c>
      <c r="AU81" s="5" t="inlineStr">
        <is>
          <t>Srinivasan Beeman</t>
        </is>
      </c>
      <c r="AV81" s="4" t="inlineStr">
        <is>
          <t>0.0%</t>
        </is>
      </c>
    </row>
    <row r="82" ht="36" customHeight="1">
      <c r="A82" s="4" t="n">
        <v>64</v>
      </c>
      <c r="B82" s="4" t="inlineStr">
        <is>
          <t>65</t>
        </is>
      </c>
      <c r="C82" s="5" t="inlineStr">
        <is>
          <t>B Dasthagir</t>
        </is>
      </c>
      <c r="D82" s="4" t="inlineStr"/>
      <c r="E82" s="5" t="inlineStr"/>
      <c r="F82" s="4" t="inlineStr"/>
      <c r="G82" s="4" t="inlineStr"/>
      <c r="H82" s="5" t="inlineStr"/>
      <c r="I82" s="4" t="inlineStr"/>
      <c r="J82" s="4" t="inlineStr"/>
      <c r="K82" s="5" t="inlineStr"/>
      <c r="L82" s="4" t="inlineStr"/>
      <c r="M82" s="4" t="inlineStr"/>
      <c r="N82" s="5" t="inlineStr"/>
      <c r="O82" s="4" t="inlineStr"/>
      <c r="P82" s="4" t="inlineStr"/>
      <c r="Q82" s="5" t="inlineStr"/>
      <c r="R82" s="4" t="inlineStr"/>
      <c r="S82" s="4" t="inlineStr"/>
      <c r="T82" s="5" t="inlineStr"/>
      <c r="U82" s="4" t="inlineStr"/>
      <c r="V82" s="4" t="inlineStr"/>
      <c r="W82" s="5" t="inlineStr"/>
      <c r="X82" s="4" t="inlineStr"/>
      <c r="Y82" s="4" t="inlineStr"/>
      <c r="Z82" s="5" t="inlineStr"/>
      <c r="AA82" s="4" t="inlineStr"/>
      <c r="AB82" s="4" t="inlineStr"/>
      <c r="AC82" s="5" t="inlineStr"/>
      <c r="AD82" s="4" t="inlineStr"/>
      <c r="AE82" s="4" t="inlineStr"/>
      <c r="AF82" s="5" t="inlineStr"/>
      <c r="AG82" s="4" t="inlineStr"/>
      <c r="AH82" s="4" t="inlineStr"/>
      <c r="AI82" s="5" t="inlineStr"/>
      <c r="AJ82" s="4" t="inlineStr"/>
      <c r="AK82" s="4" t="inlineStr"/>
      <c r="AL82" s="5" t="inlineStr"/>
      <c r="AM82" s="4" t="inlineStr"/>
      <c r="AN82" s="4" t="inlineStr"/>
      <c r="AO82" s="5" t="n">
        <v>0</v>
      </c>
      <c r="AP82" s="4" t="n">
        <v>16</v>
      </c>
      <c r="AQ82" s="4" t="inlineStr">
        <is>
          <t>16.0 Hours Remaining</t>
        </is>
      </c>
      <c r="AR82" s="6" t="inlineStr">
        <is>
          <t>0.0%</t>
        </is>
      </c>
      <c r="AS82" s="7" t="inlineStr">
        <is>
          <t>Critical</t>
        </is>
      </c>
      <c r="AT82" s="4" t="inlineStr">
        <is>
          <t>QA</t>
        </is>
      </c>
      <c r="AU82" s="5" t="inlineStr">
        <is>
          <t>Srinivasan Beeman</t>
        </is>
      </c>
      <c r="AV82" s="4" t="inlineStr">
        <is>
          <t>0.0%</t>
        </is>
      </c>
    </row>
    <row r="83" ht="36" customHeight="1">
      <c r="A83" s="4" t="n">
        <v>65</v>
      </c>
      <c r="B83" s="4" t="inlineStr">
        <is>
          <t>71</t>
        </is>
      </c>
      <c r="C83" s="5" t="inlineStr">
        <is>
          <t>Prabakaran .</t>
        </is>
      </c>
      <c r="D83" s="4" t="inlineStr"/>
      <c r="E83" s="5" t="inlineStr"/>
      <c r="F83" s="4" t="inlineStr"/>
      <c r="G83" s="4" t="inlineStr"/>
      <c r="H83" s="5" t="inlineStr"/>
      <c r="I83" s="4" t="inlineStr"/>
      <c r="J83" s="4" t="inlineStr"/>
      <c r="K83" s="5" t="inlineStr"/>
      <c r="L83" s="4" t="inlineStr"/>
      <c r="M83" s="4" t="inlineStr"/>
      <c r="N83" s="5" t="inlineStr"/>
      <c r="O83" s="4" t="inlineStr"/>
      <c r="P83" s="4" t="inlineStr"/>
      <c r="Q83" s="5" t="inlineStr"/>
      <c r="R83" s="4" t="inlineStr"/>
      <c r="S83" s="4" t="inlineStr"/>
      <c r="T83" s="5" t="inlineStr"/>
      <c r="U83" s="4" t="inlineStr"/>
      <c r="V83" s="4" t="inlineStr"/>
      <c r="W83" s="5" t="inlineStr"/>
      <c r="X83" s="4" t="inlineStr"/>
      <c r="Y83" s="4" t="inlineStr"/>
      <c r="Z83" s="5" t="inlineStr"/>
      <c r="AA83" s="4" t="inlineStr"/>
      <c r="AB83" s="4" t="inlineStr"/>
      <c r="AC83" s="5" t="inlineStr"/>
      <c r="AD83" s="4" t="inlineStr"/>
      <c r="AE83" s="4" t="inlineStr"/>
      <c r="AF83" s="5" t="inlineStr"/>
      <c r="AG83" s="4" t="inlineStr"/>
      <c r="AH83" s="4" t="inlineStr"/>
      <c r="AI83" s="5" t="inlineStr"/>
      <c r="AJ83" s="4" t="inlineStr"/>
      <c r="AK83" s="4" t="inlineStr"/>
      <c r="AL83" s="5" t="inlineStr"/>
      <c r="AM83" s="4" t="inlineStr"/>
      <c r="AN83" s="4" t="inlineStr"/>
      <c r="AO83" s="5" t="n">
        <v>0</v>
      </c>
      <c r="AP83" s="4" t="n">
        <v>16</v>
      </c>
      <c r="AQ83" s="4" t="inlineStr">
        <is>
          <t>16.0 Hours Remaining</t>
        </is>
      </c>
      <c r="AR83" s="6" t="inlineStr">
        <is>
          <t>0.0%</t>
        </is>
      </c>
      <c r="AS83" s="7" t="inlineStr">
        <is>
          <t>Critical</t>
        </is>
      </c>
      <c r="AT83" s="4" t="inlineStr">
        <is>
          <t>QA</t>
        </is>
      </c>
      <c r="AU83" s="5" t="inlineStr">
        <is>
          <t>R Rathina Kumar</t>
        </is>
      </c>
      <c r="AV83" s="4" t="inlineStr">
        <is>
          <t>0.0%</t>
        </is>
      </c>
    </row>
    <row r="84" ht="36" customHeight="1">
      <c r="A84" s="4" t="n">
        <v>66</v>
      </c>
      <c r="B84" s="4" t="inlineStr">
        <is>
          <t>78</t>
        </is>
      </c>
      <c r="C84" s="5" t="inlineStr">
        <is>
          <t>Mohan J</t>
        </is>
      </c>
      <c r="D84" s="4" t="inlineStr"/>
      <c r="E84" s="5" t="inlineStr"/>
      <c r="F84" s="4" t="inlineStr"/>
      <c r="G84" s="4" t="inlineStr"/>
      <c r="H84" s="5" t="inlineStr"/>
      <c r="I84" s="4" t="inlineStr"/>
      <c r="J84" s="4" t="inlineStr"/>
      <c r="K84" s="5" t="inlineStr"/>
      <c r="L84" s="4" t="inlineStr"/>
      <c r="M84" s="4" t="inlineStr"/>
      <c r="N84" s="5" t="inlineStr"/>
      <c r="O84" s="4" t="inlineStr"/>
      <c r="P84" s="4" t="inlineStr"/>
      <c r="Q84" s="5" t="inlineStr"/>
      <c r="R84" s="4" t="inlineStr"/>
      <c r="S84" s="4" t="inlineStr"/>
      <c r="T84" s="5" t="inlineStr"/>
      <c r="U84" s="4" t="inlineStr"/>
      <c r="V84" s="4" t="inlineStr"/>
      <c r="W84" s="5" t="inlineStr"/>
      <c r="X84" s="4" t="inlineStr"/>
      <c r="Y84" s="4" t="inlineStr"/>
      <c r="Z84" s="5" t="inlineStr"/>
      <c r="AA84" s="4" t="inlineStr"/>
      <c r="AB84" s="4" t="inlineStr"/>
      <c r="AC84" s="5" t="inlineStr"/>
      <c r="AD84" s="4" t="inlineStr"/>
      <c r="AE84" s="4" t="inlineStr"/>
      <c r="AF84" s="5" t="inlineStr"/>
      <c r="AG84" s="4" t="inlineStr"/>
      <c r="AH84" s="4" t="inlineStr"/>
      <c r="AI84" s="5" t="inlineStr"/>
      <c r="AJ84" s="4" t="inlineStr"/>
      <c r="AK84" s="4" t="inlineStr"/>
      <c r="AL84" s="5" t="inlineStr"/>
      <c r="AM84" s="4" t="inlineStr"/>
      <c r="AN84" s="4" t="inlineStr"/>
      <c r="AO84" s="5" t="n">
        <v>0</v>
      </c>
      <c r="AP84" s="4" t="n">
        <v>16</v>
      </c>
      <c r="AQ84" s="4" t="inlineStr">
        <is>
          <t>16.0 Hours Remaining</t>
        </is>
      </c>
      <c r="AR84" s="6" t="inlineStr">
        <is>
          <t>0.0%</t>
        </is>
      </c>
      <c r="AS84" s="7" t="inlineStr">
        <is>
          <t>Critical</t>
        </is>
      </c>
      <c r="AT84" s="4" t="inlineStr">
        <is>
          <t>QA</t>
        </is>
      </c>
      <c r="AU84" s="5" t="inlineStr">
        <is>
          <t>Srinivasan Beeman</t>
        </is>
      </c>
      <c r="AV84" s="4" t="inlineStr">
        <is>
          <t>0.0%</t>
        </is>
      </c>
    </row>
    <row r="85" ht="36" customHeight="1">
      <c r="A85" s="4" t="n">
        <v>67</v>
      </c>
      <c r="B85" s="4" t="inlineStr">
        <is>
          <t>86</t>
        </is>
      </c>
      <c r="C85" s="5" t="inlineStr">
        <is>
          <t>Sundaravel S</t>
        </is>
      </c>
      <c r="D85" s="4" t="inlineStr"/>
      <c r="E85" s="5" t="inlineStr"/>
      <c r="F85" s="4" t="inlineStr"/>
      <c r="G85" s="4" t="inlineStr"/>
      <c r="H85" s="5" t="inlineStr"/>
      <c r="I85" s="4" t="inlineStr"/>
      <c r="J85" s="4" t="inlineStr"/>
      <c r="K85" s="5" t="inlineStr"/>
      <c r="L85" s="4" t="inlineStr"/>
      <c r="M85" s="4" t="inlineStr"/>
      <c r="N85" s="5" t="inlineStr"/>
      <c r="O85" s="4" t="inlineStr"/>
      <c r="P85" s="4" t="inlineStr"/>
      <c r="Q85" s="5" t="inlineStr"/>
      <c r="R85" s="4" t="inlineStr"/>
      <c r="S85" s="4" t="inlineStr"/>
      <c r="T85" s="5" t="inlineStr"/>
      <c r="U85" s="4" t="inlineStr"/>
      <c r="V85" s="4" t="inlineStr"/>
      <c r="W85" s="5" t="inlineStr"/>
      <c r="X85" s="4" t="inlineStr"/>
      <c r="Y85" s="4" t="inlineStr"/>
      <c r="Z85" s="5" t="inlineStr"/>
      <c r="AA85" s="4" t="inlineStr"/>
      <c r="AB85" s="4" t="inlineStr"/>
      <c r="AC85" s="5" t="inlineStr"/>
      <c r="AD85" s="4" t="inlineStr"/>
      <c r="AE85" s="4" t="inlineStr"/>
      <c r="AF85" s="5" t="inlineStr"/>
      <c r="AG85" s="4" t="inlineStr"/>
      <c r="AH85" s="4" t="inlineStr"/>
      <c r="AI85" s="5" t="inlineStr"/>
      <c r="AJ85" s="4" t="inlineStr"/>
      <c r="AK85" s="4" t="inlineStr"/>
      <c r="AL85" s="5" t="inlineStr"/>
      <c r="AM85" s="4" t="inlineStr"/>
      <c r="AN85" s="4" t="inlineStr"/>
      <c r="AO85" s="5" t="n">
        <v>0</v>
      </c>
      <c r="AP85" s="4" t="n">
        <v>16</v>
      </c>
      <c r="AQ85" s="4" t="inlineStr">
        <is>
          <t>16.0 Hours Remaining</t>
        </is>
      </c>
      <c r="AR85" s="6" t="inlineStr">
        <is>
          <t>0.0%</t>
        </is>
      </c>
      <c r="AS85" s="7" t="inlineStr">
        <is>
          <t>Critical</t>
        </is>
      </c>
      <c r="AT85" s="4" t="inlineStr">
        <is>
          <t>QA</t>
        </is>
      </c>
      <c r="AU85" s="5" t="inlineStr">
        <is>
          <t>Srinivasan Beeman</t>
        </is>
      </c>
      <c r="AV85" s="4" t="inlineStr">
        <is>
          <t>0.0%</t>
        </is>
      </c>
    </row>
    <row r="86" ht="36" customHeight="1">
      <c r="A86" s="4" t="n">
        <v>68</v>
      </c>
      <c r="B86" s="4" t="inlineStr">
        <is>
          <t>90</t>
        </is>
      </c>
      <c r="C86" s="5" t="inlineStr">
        <is>
          <t>Manjula Ravikumar</t>
        </is>
      </c>
      <c r="D86" s="4" t="inlineStr"/>
      <c r="E86" s="5" t="inlineStr"/>
      <c r="F86" s="4" t="inlineStr"/>
      <c r="G86" s="4" t="inlineStr"/>
      <c r="H86" s="5" t="inlineStr"/>
      <c r="I86" s="4" t="inlineStr"/>
      <c r="J86" s="4" t="inlineStr"/>
      <c r="K86" s="5" t="inlineStr"/>
      <c r="L86" s="4" t="inlineStr"/>
      <c r="M86" s="4" t="inlineStr"/>
      <c r="N86" s="5" t="inlineStr"/>
      <c r="O86" s="4" t="inlineStr"/>
      <c r="P86" s="4" t="inlineStr"/>
      <c r="Q86" s="5" t="inlineStr"/>
      <c r="R86" s="4" t="inlineStr"/>
      <c r="S86" s="4" t="inlineStr"/>
      <c r="T86" s="5" t="inlineStr"/>
      <c r="U86" s="4" t="inlineStr"/>
      <c r="V86" s="4" t="inlineStr"/>
      <c r="W86" s="5" t="inlineStr"/>
      <c r="X86" s="4" t="inlineStr"/>
      <c r="Y86" s="4" t="inlineStr"/>
      <c r="Z86" s="5" t="inlineStr"/>
      <c r="AA86" s="4" t="inlineStr"/>
      <c r="AB86" s="4" t="inlineStr"/>
      <c r="AC86" s="5" t="inlineStr"/>
      <c r="AD86" s="4" t="inlineStr"/>
      <c r="AE86" s="4" t="inlineStr"/>
      <c r="AF86" s="5" t="inlineStr"/>
      <c r="AG86" s="4" t="inlineStr"/>
      <c r="AH86" s="4" t="inlineStr"/>
      <c r="AI86" s="5" t="inlineStr"/>
      <c r="AJ86" s="4" t="inlineStr"/>
      <c r="AK86" s="4" t="inlineStr"/>
      <c r="AL86" s="5" t="inlineStr"/>
      <c r="AM86" s="4" t="inlineStr"/>
      <c r="AN86" s="4" t="inlineStr"/>
      <c r="AO86" s="5" t="n">
        <v>0</v>
      </c>
      <c r="AP86" s="4" t="n">
        <v>16</v>
      </c>
      <c r="AQ86" s="4" t="inlineStr">
        <is>
          <t>16.0 Hours Remaining</t>
        </is>
      </c>
      <c r="AR86" s="6" t="inlineStr">
        <is>
          <t>0.0%</t>
        </is>
      </c>
      <c r="AS86" s="7" t="inlineStr">
        <is>
          <t>Critical</t>
        </is>
      </c>
      <c r="AT86" s="4" t="inlineStr">
        <is>
          <t>QA</t>
        </is>
      </c>
      <c r="AU86" s="5" t="inlineStr">
        <is>
          <t>Srinivasan Beeman</t>
        </is>
      </c>
      <c r="AV86" s="4" t="inlineStr">
        <is>
          <t>0.0%</t>
        </is>
      </c>
    </row>
    <row r="87" ht="36" customHeight="1">
      <c r="A87" s="4" t="n">
        <v>69</v>
      </c>
      <c r="B87" s="4" t="inlineStr">
        <is>
          <t>94</t>
        </is>
      </c>
      <c r="C87" s="5" t="inlineStr">
        <is>
          <t>Bhatt Shivang Bharatbhai</t>
        </is>
      </c>
      <c r="D87" s="4" t="inlineStr"/>
      <c r="E87" s="5" t="inlineStr"/>
      <c r="F87" s="4" t="inlineStr"/>
      <c r="G87" s="4" t="inlineStr"/>
      <c r="H87" s="5" t="inlineStr"/>
      <c r="I87" s="4" t="inlineStr"/>
      <c r="J87" s="4" t="inlineStr"/>
      <c r="K87" s="5" t="inlineStr"/>
      <c r="L87" s="4" t="inlineStr"/>
      <c r="M87" s="4" t="inlineStr"/>
      <c r="N87" s="5" t="inlineStr"/>
      <c r="O87" s="4" t="inlineStr"/>
      <c r="P87" s="4" t="inlineStr"/>
      <c r="Q87" s="5" t="inlineStr"/>
      <c r="R87" s="4" t="inlineStr"/>
      <c r="S87" s="4" t="inlineStr"/>
      <c r="T87" s="5" t="inlineStr"/>
      <c r="U87" s="4" t="inlineStr"/>
      <c r="V87" s="4" t="inlineStr"/>
      <c r="W87" s="5" t="inlineStr"/>
      <c r="X87" s="4" t="inlineStr"/>
      <c r="Y87" s="4" t="inlineStr"/>
      <c r="Z87" s="5" t="inlineStr"/>
      <c r="AA87" s="4" t="inlineStr"/>
      <c r="AB87" s="4" t="inlineStr"/>
      <c r="AC87" s="5" t="inlineStr"/>
      <c r="AD87" s="4" t="inlineStr"/>
      <c r="AE87" s="4" t="inlineStr"/>
      <c r="AF87" s="5" t="inlineStr"/>
      <c r="AG87" s="4" t="inlineStr"/>
      <c r="AH87" s="4" t="inlineStr"/>
      <c r="AI87" s="5" t="inlineStr"/>
      <c r="AJ87" s="4" t="inlineStr"/>
      <c r="AK87" s="4" t="inlineStr"/>
      <c r="AL87" s="5" t="inlineStr"/>
      <c r="AM87" s="4" t="inlineStr"/>
      <c r="AN87" s="4" t="inlineStr"/>
      <c r="AO87" s="5" t="n">
        <v>0</v>
      </c>
      <c r="AP87" s="4" t="n">
        <v>16</v>
      </c>
      <c r="AQ87" s="4" t="inlineStr">
        <is>
          <t>16.0 Hours Remaining</t>
        </is>
      </c>
      <c r="AR87" s="6" t="inlineStr">
        <is>
          <t>0.0%</t>
        </is>
      </c>
      <c r="AS87" s="7" t="inlineStr">
        <is>
          <t>Critical</t>
        </is>
      </c>
      <c r="AT87" s="4" t="inlineStr">
        <is>
          <t>QA</t>
        </is>
      </c>
      <c r="AU87" s="5" t="inlineStr">
        <is>
          <t>Harsora Rajan Bakulbhai</t>
        </is>
      </c>
      <c r="AV87" s="4" t="inlineStr">
        <is>
          <t>0.0%</t>
        </is>
      </c>
    </row>
    <row r="88" ht="36" customHeight="1">
      <c r="A88" s="4" t="n">
        <v>70</v>
      </c>
      <c r="B88" s="4" t="inlineStr">
        <is>
          <t>96</t>
        </is>
      </c>
      <c r="C88" s="5" t="inlineStr">
        <is>
          <t>Umraniya Deep Ghanshyambhai</t>
        </is>
      </c>
      <c r="D88" s="4" t="inlineStr"/>
      <c r="E88" s="5" t="inlineStr"/>
      <c r="F88" s="4" t="inlineStr"/>
      <c r="G88" s="4" t="inlineStr"/>
      <c r="H88" s="5" t="inlineStr"/>
      <c r="I88" s="4" t="inlineStr"/>
      <c r="J88" s="4" t="inlineStr"/>
      <c r="K88" s="5" t="inlineStr"/>
      <c r="L88" s="4" t="inlineStr"/>
      <c r="M88" s="4" t="inlineStr"/>
      <c r="N88" s="5" t="inlineStr"/>
      <c r="O88" s="4" t="inlineStr"/>
      <c r="P88" s="4" t="inlineStr"/>
      <c r="Q88" s="5" t="inlineStr"/>
      <c r="R88" s="4" t="inlineStr"/>
      <c r="S88" s="4" t="inlineStr"/>
      <c r="T88" s="5" t="inlineStr"/>
      <c r="U88" s="4" t="inlineStr"/>
      <c r="V88" s="4" t="inlineStr"/>
      <c r="W88" s="5" t="inlineStr"/>
      <c r="X88" s="4" t="inlineStr"/>
      <c r="Y88" s="4" t="inlineStr"/>
      <c r="Z88" s="5" t="inlineStr"/>
      <c r="AA88" s="4" t="inlineStr"/>
      <c r="AB88" s="4" t="inlineStr"/>
      <c r="AC88" s="5" t="inlineStr"/>
      <c r="AD88" s="4" t="inlineStr"/>
      <c r="AE88" s="4" t="inlineStr"/>
      <c r="AF88" s="5" t="inlineStr"/>
      <c r="AG88" s="4" t="inlineStr"/>
      <c r="AH88" s="4" t="inlineStr"/>
      <c r="AI88" s="5" t="inlineStr"/>
      <c r="AJ88" s="4" t="inlineStr"/>
      <c r="AK88" s="4" t="inlineStr"/>
      <c r="AL88" s="5" t="inlineStr"/>
      <c r="AM88" s="4" t="inlineStr"/>
      <c r="AN88" s="4" t="inlineStr"/>
      <c r="AO88" s="5" t="n">
        <v>0</v>
      </c>
      <c r="AP88" s="4" t="n">
        <v>16</v>
      </c>
      <c r="AQ88" s="4" t="inlineStr">
        <is>
          <t>16.0 Hours Remaining</t>
        </is>
      </c>
      <c r="AR88" s="6" t="inlineStr">
        <is>
          <t>0.0%</t>
        </is>
      </c>
      <c r="AS88" s="7" t="inlineStr">
        <is>
          <t>Critical</t>
        </is>
      </c>
      <c r="AT88" s="4" t="inlineStr">
        <is>
          <t>QA</t>
        </is>
      </c>
      <c r="AU88" s="5" t="inlineStr">
        <is>
          <t>Vinit Praful Karia</t>
        </is>
      </c>
      <c r="AV88" s="4" t="inlineStr">
        <is>
          <t>0.0%</t>
        </is>
      </c>
    </row>
    <row r="89" ht="36" customHeight="1">
      <c r="A89" s="4" t="n">
        <v>71</v>
      </c>
      <c r="B89" s="4" t="inlineStr">
        <is>
          <t>98</t>
        </is>
      </c>
      <c r="C89" s="5" t="inlineStr">
        <is>
          <t>Sakthi Kumaravel</t>
        </is>
      </c>
      <c r="D89" s="4" t="inlineStr"/>
      <c r="E89" s="5" t="inlineStr"/>
      <c r="F89" s="4" t="inlineStr"/>
      <c r="G89" s="4" t="inlineStr"/>
      <c r="H89" s="5" t="inlineStr"/>
      <c r="I89" s="4" t="inlineStr"/>
      <c r="J89" s="4" t="inlineStr"/>
      <c r="K89" s="5" t="inlineStr"/>
      <c r="L89" s="4" t="inlineStr"/>
      <c r="M89" s="4" t="inlineStr"/>
      <c r="N89" s="5" t="inlineStr"/>
      <c r="O89" s="4" t="inlineStr"/>
      <c r="P89" s="4" t="inlineStr"/>
      <c r="Q89" s="5" t="inlineStr"/>
      <c r="R89" s="4" t="inlineStr"/>
      <c r="S89" s="4" t="inlineStr"/>
      <c r="T89" s="5" t="inlineStr"/>
      <c r="U89" s="4" t="inlineStr"/>
      <c r="V89" s="4" t="inlineStr"/>
      <c r="W89" s="5" t="inlineStr"/>
      <c r="X89" s="4" t="inlineStr"/>
      <c r="Y89" s="4" t="inlineStr"/>
      <c r="Z89" s="5" t="inlineStr"/>
      <c r="AA89" s="4" t="inlineStr"/>
      <c r="AB89" s="4" t="inlineStr"/>
      <c r="AC89" s="5" t="inlineStr"/>
      <c r="AD89" s="4" t="inlineStr"/>
      <c r="AE89" s="4" t="inlineStr"/>
      <c r="AF89" s="5" t="inlineStr"/>
      <c r="AG89" s="4" t="inlineStr"/>
      <c r="AH89" s="4" t="inlineStr"/>
      <c r="AI89" s="5" t="inlineStr"/>
      <c r="AJ89" s="4" t="inlineStr"/>
      <c r="AK89" s="4" t="inlineStr"/>
      <c r="AL89" s="5" t="inlineStr"/>
      <c r="AM89" s="4" t="inlineStr"/>
      <c r="AN89" s="4" t="inlineStr"/>
      <c r="AO89" s="5" t="n">
        <v>0</v>
      </c>
      <c r="AP89" s="4" t="n">
        <v>16</v>
      </c>
      <c r="AQ89" s="4" t="inlineStr">
        <is>
          <t>16.0 Hours Remaining</t>
        </is>
      </c>
      <c r="AR89" s="6" t="inlineStr">
        <is>
          <t>0.0%</t>
        </is>
      </c>
      <c r="AS89" s="7" t="inlineStr">
        <is>
          <t>Critical</t>
        </is>
      </c>
      <c r="AT89" s="4" t="inlineStr">
        <is>
          <t>QA</t>
        </is>
      </c>
      <c r="AU89" s="5" t="inlineStr">
        <is>
          <t>Srinivasan Beeman</t>
        </is>
      </c>
      <c r="AV89" s="4" t="inlineStr">
        <is>
          <t>0.0%</t>
        </is>
      </c>
    </row>
    <row r="90" ht="24" customHeight="1">
      <c r="A90" s="8" t="inlineStr"/>
      <c r="B90" s="8" t="inlineStr"/>
      <c r="C90" s="9" t="inlineStr">
        <is>
          <t>QA Subtotal</t>
        </is>
      </c>
      <c r="D90" s="8" t="inlineStr"/>
      <c r="E90" s="9" t="inlineStr"/>
      <c r="F90" s="10">
        <f>SUM(F54:F89)</f>
        <v/>
      </c>
      <c r="G90" s="10">
        <f>SUM(G54:G89)</f>
        <v/>
      </c>
      <c r="H90" s="9" t="inlineStr"/>
      <c r="I90" s="10">
        <f>SUM(I54:I89)</f>
        <v/>
      </c>
      <c r="J90" s="10">
        <f>SUM(J54:J89)</f>
        <v/>
      </c>
      <c r="K90" s="9" t="inlineStr"/>
      <c r="L90" s="10">
        <f>SUM(L54:L89)</f>
        <v/>
      </c>
      <c r="M90" s="10">
        <f>SUM(M54:M89)</f>
        <v/>
      </c>
      <c r="N90" s="9" t="inlineStr"/>
      <c r="O90" s="10">
        <f>SUM(O54:O89)</f>
        <v/>
      </c>
      <c r="P90" s="10">
        <f>SUM(P54:P89)</f>
        <v/>
      </c>
      <c r="Q90" s="9" t="inlineStr"/>
      <c r="R90" s="10">
        <f>SUM(R54:R89)</f>
        <v/>
      </c>
      <c r="S90" s="10">
        <f>SUM(S54:S89)</f>
        <v/>
      </c>
      <c r="T90" s="9" t="inlineStr"/>
      <c r="U90" s="10">
        <f>SUM(U54:U89)</f>
        <v/>
      </c>
      <c r="V90" s="10">
        <f>SUM(V54:V89)</f>
        <v/>
      </c>
      <c r="W90" s="9" t="inlineStr"/>
      <c r="X90" s="10">
        <f>SUM(X54:X89)</f>
        <v/>
      </c>
      <c r="Y90" s="10">
        <f>SUM(Y54:Y89)</f>
        <v/>
      </c>
      <c r="Z90" s="9" t="inlineStr"/>
      <c r="AA90" s="10">
        <f>SUM(AA54:AA89)</f>
        <v/>
      </c>
      <c r="AB90" s="10">
        <f>SUM(AB54:AB89)</f>
        <v/>
      </c>
      <c r="AC90" s="9" t="inlineStr"/>
      <c r="AD90" s="10">
        <f>SUM(AD54:AD89)</f>
        <v/>
      </c>
      <c r="AE90" s="10">
        <f>SUM(AE54:AE89)</f>
        <v/>
      </c>
      <c r="AF90" s="9" t="inlineStr"/>
      <c r="AG90" s="10">
        <f>SUM(AG54:AG89)</f>
        <v/>
      </c>
      <c r="AH90" s="10">
        <f>SUM(AH54:AH89)</f>
        <v/>
      </c>
      <c r="AI90" s="9" t="inlineStr"/>
      <c r="AJ90" s="10">
        <f>SUM(AJ54:AJ89)</f>
        <v/>
      </c>
      <c r="AK90" s="10">
        <f>SUM(AK54:AK89)</f>
        <v/>
      </c>
      <c r="AL90" s="9" t="inlineStr"/>
      <c r="AM90" s="10">
        <f>SUM(AM54:AM89)</f>
        <v/>
      </c>
      <c r="AN90" s="10">
        <f>SUM(AN54:AN89)</f>
        <v/>
      </c>
      <c r="AO90" s="11">
        <f>SUM(AO54:AO89)</f>
        <v/>
      </c>
      <c r="AP90" s="10">
        <f>SUM(AP54:AP89)</f>
        <v/>
      </c>
      <c r="AQ90" s="10">
        <f>SUM(AQ54:AQ89)</f>
        <v/>
      </c>
      <c r="AR90" s="12">
        <f>IF(AP90&gt;0, AO90/AP90, 0)</f>
        <v/>
      </c>
      <c r="AS90" s="10">
        <f>IF(AR90&gt;=1.0, "Achieved", IF(AR90&gt;=0.75, "Good", IF(AR90&gt;=0.5, "Moderate", IF(AR90&gt;=0.25, "Low", "Critical"))))</f>
        <v/>
      </c>
      <c r="AT90" s="10" t="inlineStr">
        <is>
          <t>QA</t>
        </is>
      </c>
      <c r="AU90" s="9" t="inlineStr"/>
      <c r="AV90" s="13">
        <f>AVERAGE(AV54:AV89)</f>
        <v/>
      </c>
    </row>
    <row r="91" ht="36" customHeight="1">
      <c r="A91" s="4" t="n">
        <v>72</v>
      </c>
      <c r="B91" s="4" t="inlineStr">
        <is>
          <t>005</t>
        </is>
      </c>
      <c r="C91" s="5" t="inlineStr">
        <is>
          <t>Arunkumar Selvaraj</t>
        </is>
      </c>
      <c r="D91" s="4" t="inlineStr"/>
      <c r="E91" s="5" t="inlineStr"/>
      <c r="F91" s="4" t="inlineStr"/>
      <c r="G91" s="4" t="inlineStr"/>
      <c r="H91" s="5" t="inlineStr"/>
      <c r="I91" s="4" t="inlineStr"/>
      <c r="J91" s="4" t="inlineStr"/>
      <c r="K91" s="5" t="inlineStr"/>
      <c r="L91" s="4" t="inlineStr"/>
      <c r="M91" s="4" t="inlineStr"/>
      <c r="N91" s="5" t="inlineStr"/>
      <c r="O91" s="4" t="inlineStr"/>
      <c r="P91" s="4" t="inlineStr"/>
      <c r="Q91" s="5" t="inlineStr"/>
      <c r="R91" s="4" t="inlineStr"/>
      <c r="S91" s="4" t="inlineStr"/>
      <c r="T91" s="5" t="inlineStr"/>
      <c r="U91" s="4" t="inlineStr"/>
      <c r="V91" s="4" t="inlineStr"/>
      <c r="W91" s="5" t="inlineStr"/>
      <c r="X91" s="4" t="inlineStr"/>
      <c r="Y91" s="4" t="inlineStr"/>
      <c r="Z91" s="5" t="inlineStr"/>
      <c r="AA91" s="4" t="inlineStr"/>
      <c r="AB91" s="4" t="inlineStr"/>
      <c r="AC91" s="5" t="inlineStr"/>
      <c r="AD91" s="4" t="inlineStr"/>
      <c r="AE91" s="4" t="inlineStr"/>
      <c r="AF91" s="5" t="inlineStr"/>
      <c r="AG91" s="4" t="inlineStr"/>
      <c r="AH91" s="4" t="inlineStr"/>
      <c r="AI91" s="5" t="inlineStr"/>
      <c r="AJ91" s="4" t="inlineStr"/>
      <c r="AK91" s="4" t="inlineStr"/>
      <c r="AL91" s="5" t="inlineStr"/>
      <c r="AM91" s="4" t="inlineStr"/>
      <c r="AN91" s="4" t="inlineStr"/>
      <c r="AO91" s="5" t="n">
        <v>0</v>
      </c>
      <c r="AP91" s="4" t="n">
        <v>16</v>
      </c>
      <c r="AQ91" s="4" t="inlineStr">
        <is>
          <t>16.0 Hours Remaining</t>
        </is>
      </c>
      <c r="AR91" s="6" t="inlineStr">
        <is>
          <t>0.0%</t>
        </is>
      </c>
      <c r="AS91" s="7" t="inlineStr">
        <is>
          <t>Critical</t>
        </is>
      </c>
      <c r="AT91" s="4" t="inlineStr">
        <is>
          <t>RFQ</t>
        </is>
      </c>
      <c r="AU91" s="5" t="inlineStr">
        <is>
          <t>R Rathina Kumar</t>
        </is>
      </c>
      <c r="AV91" s="4" t="inlineStr">
        <is>
          <t>0.0%</t>
        </is>
      </c>
    </row>
    <row r="92" ht="36" customHeight="1">
      <c r="A92" s="4" t="n">
        <v>73</v>
      </c>
      <c r="B92" s="4" t="inlineStr">
        <is>
          <t>72</t>
        </is>
      </c>
      <c r="C92" s="5" t="inlineStr">
        <is>
          <t>Karthika Saran Kandaruban</t>
        </is>
      </c>
      <c r="D92" s="4" t="inlineStr"/>
      <c r="E92" s="5" t="inlineStr"/>
      <c r="F92" s="4" t="inlineStr"/>
      <c r="G92" s="4" t="inlineStr"/>
      <c r="H92" s="5" t="inlineStr"/>
      <c r="I92" s="4" t="inlineStr"/>
      <c r="J92" s="4" t="inlineStr"/>
      <c r="K92" s="5" t="inlineStr"/>
      <c r="L92" s="4" t="inlineStr"/>
      <c r="M92" s="4" t="inlineStr"/>
      <c r="N92" s="5" t="inlineStr"/>
      <c r="O92" s="4" t="inlineStr"/>
      <c r="P92" s="4" t="inlineStr"/>
      <c r="Q92" s="5" t="inlineStr"/>
      <c r="R92" s="4" t="inlineStr"/>
      <c r="S92" s="4" t="inlineStr"/>
      <c r="T92" s="5" t="inlineStr"/>
      <c r="U92" s="4" t="inlineStr"/>
      <c r="V92" s="4" t="inlineStr"/>
      <c r="W92" s="5" t="inlineStr"/>
      <c r="X92" s="4" t="inlineStr"/>
      <c r="Y92" s="4" t="inlineStr"/>
      <c r="Z92" s="5" t="inlineStr"/>
      <c r="AA92" s="4" t="inlineStr"/>
      <c r="AB92" s="4" t="inlineStr"/>
      <c r="AC92" s="5" t="inlineStr"/>
      <c r="AD92" s="4" t="inlineStr"/>
      <c r="AE92" s="4" t="inlineStr"/>
      <c r="AF92" s="5" t="inlineStr"/>
      <c r="AG92" s="4" t="inlineStr"/>
      <c r="AH92" s="4" t="inlineStr"/>
      <c r="AI92" s="5" t="inlineStr"/>
      <c r="AJ92" s="4" t="inlineStr"/>
      <c r="AK92" s="4" t="inlineStr"/>
      <c r="AL92" s="5" t="inlineStr"/>
      <c r="AM92" s="4" t="inlineStr"/>
      <c r="AN92" s="4" t="inlineStr"/>
      <c r="AO92" s="5" t="n">
        <v>0</v>
      </c>
      <c r="AP92" s="4" t="n">
        <v>16</v>
      </c>
      <c r="AQ92" s="4" t="inlineStr">
        <is>
          <t>16.0 Hours Remaining</t>
        </is>
      </c>
      <c r="AR92" s="6" t="inlineStr">
        <is>
          <t>0.0%</t>
        </is>
      </c>
      <c r="AS92" s="7" t="inlineStr">
        <is>
          <t>Critical</t>
        </is>
      </c>
      <c r="AT92" s="4" t="inlineStr">
        <is>
          <t>RFQ</t>
        </is>
      </c>
      <c r="AU92" s="5" t="inlineStr">
        <is>
          <t>R Rathina Kumar</t>
        </is>
      </c>
      <c r="AV92" s="4" t="inlineStr">
        <is>
          <t>0.0%</t>
        </is>
      </c>
    </row>
    <row r="93" ht="24" customHeight="1">
      <c r="A93" s="8" t="inlineStr"/>
      <c r="B93" s="8" t="inlineStr"/>
      <c r="C93" s="9" t="inlineStr">
        <is>
          <t>RFQ Subtotal</t>
        </is>
      </c>
      <c r="D93" s="8" t="inlineStr"/>
      <c r="E93" s="9" t="inlineStr"/>
      <c r="F93" s="10">
        <f>SUM(F91:F92)</f>
        <v/>
      </c>
      <c r="G93" s="10">
        <f>SUM(G91:G92)</f>
        <v/>
      </c>
      <c r="H93" s="9" t="inlineStr"/>
      <c r="I93" s="10">
        <f>SUM(I91:I92)</f>
        <v/>
      </c>
      <c r="J93" s="10">
        <f>SUM(J91:J92)</f>
        <v/>
      </c>
      <c r="K93" s="9" t="inlineStr"/>
      <c r="L93" s="10">
        <f>SUM(L91:L92)</f>
        <v/>
      </c>
      <c r="M93" s="10">
        <f>SUM(M91:M92)</f>
        <v/>
      </c>
      <c r="N93" s="9" t="inlineStr"/>
      <c r="O93" s="10">
        <f>SUM(O91:O92)</f>
        <v/>
      </c>
      <c r="P93" s="10">
        <f>SUM(P91:P92)</f>
        <v/>
      </c>
      <c r="Q93" s="9" t="inlineStr"/>
      <c r="R93" s="10">
        <f>SUM(R91:R92)</f>
        <v/>
      </c>
      <c r="S93" s="10">
        <f>SUM(S91:S92)</f>
        <v/>
      </c>
      <c r="T93" s="9" t="inlineStr"/>
      <c r="U93" s="10">
        <f>SUM(U91:U92)</f>
        <v/>
      </c>
      <c r="V93" s="10">
        <f>SUM(V91:V92)</f>
        <v/>
      </c>
      <c r="W93" s="9" t="inlineStr"/>
      <c r="X93" s="10">
        <f>SUM(X91:X92)</f>
        <v/>
      </c>
      <c r="Y93" s="10">
        <f>SUM(Y91:Y92)</f>
        <v/>
      </c>
      <c r="Z93" s="9" t="inlineStr"/>
      <c r="AA93" s="10">
        <f>SUM(AA91:AA92)</f>
        <v/>
      </c>
      <c r="AB93" s="10">
        <f>SUM(AB91:AB92)</f>
        <v/>
      </c>
      <c r="AC93" s="9" t="inlineStr"/>
      <c r="AD93" s="10">
        <f>SUM(AD91:AD92)</f>
        <v/>
      </c>
      <c r="AE93" s="10">
        <f>SUM(AE91:AE92)</f>
        <v/>
      </c>
      <c r="AF93" s="9" t="inlineStr"/>
      <c r="AG93" s="10">
        <f>SUM(AG91:AG92)</f>
        <v/>
      </c>
      <c r="AH93" s="10">
        <f>SUM(AH91:AH92)</f>
        <v/>
      </c>
      <c r="AI93" s="9" t="inlineStr"/>
      <c r="AJ93" s="10">
        <f>SUM(AJ91:AJ92)</f>
        <v/>
      </c>
      <c r="AK93" s="10">
        <f>SUM(AK91:AK92)</f>
        <v/>
      </c>
      <c r="AL93" s="9" t="inlineStr"/>
      <c r="AM93" s="10">
        <f>SUM(AM91:AM92)</f>
        <v/>
      </c>
      <c r="AN93" s="10">
        <f>SUM(AN91:AN92)</f>
        <v/>
      </c>
      <c r="AO93" s="11">
        <f>SUM(AO91:AO92)</f>
        <v/>
      </c>
      <c r="AP93" s="10">
        <f>SUM(AP91:AP92)</f>
        <v/>
      </c>
      <c r="AQ93" s="10">
        <f>SUM(AQ91:AQ92)</f>
        <v/>
      </c>
      <c r="AR93" s="12">
        <f>IF(AP93&gt;0, AO93/AP93, 0)</f>
        <v/>
      </c>
      <c r="AS93" s="10">
        <f>IF(AR93&gt;=1.0, "Achieved", IF(AR93&gt;=0.75, "Good", IF(AR93&gt;=0.5, "Moderate", IF(AR93&gt;=0.25, "Low", "Critical"))))</f>
        <v/>
      </c>
      <c r="AT93" s="10" t="inlineStr">
        <is>
          <t>RFQ</t>
        </is>
      </c>
      <c r="AU93" s="9" t="inlineStr"/>
      <c r="AV93" s="13">
        <f>AVERAGE(AV91:AV92)</f>
        <v/>
      </c>
    </row>
    <row r="94" ht="36" customHeight="1">
      <c r="A94" s="4" t="n">
        <v>74</v>
      </c>
      <c r="B94" s="4" t="inlineStr">
        <is>
          <t>106</t>
        </is>
      </c>
      <c r="C94" s="5" t="inlineStr">
        <is>
          <t>Nikhil Rajesh Shah</t>
        </is>
      </c>
      <c r="D94" s="4" t="inlineStr"/>
      <c r="E94" s="5" t="inlineStr"/>
      <c r="F94" s="4" t="inlineStr"/>
      <c r="G94" s="4" t="inlineStr"/>
      <c r="H94" s="5" t="inlineStr"/>
      <c r="I94" s="4" t="inlineStr"/>
      <c r="J94" s="4" t="inlineStr"/>
      <c r="K94" s="5" t="inlineStr"/>
      <c r="L94" s="4" t="inlineStr"/>
      <c r="M94" s="4" t="inlineStr"/>
      <c r="N94" s="5" t="inlineStr"/>
      <c r="O94" s="4" t="inlineStr"/>
      <c r="P94" s="4" t="inlineStr"/>
      <c r="Q94" s="5" t="inlineStr"/>
      <c r="R94" s="4" t="inlineStr"/>
      <c r="S94" s="4" t="inlineStr"/>
      <c r="T94" s="5" t="inlineStr"/>
      <c r="U94" s="4" t="inlineStr"/>
      <c r="V94" s="4" t="inlineStr"/>
      <c r="W94" s="5" t="inlineStr"/>
      <c r="X94" s="4" t="inlineStr"/>
      <c r="Y94" s="4" t="inlineStr"/>
      <c r="Z94" s="5" t="inlineStr"/>
      <c r="AA94" s="4" t="inlineStr"/>
      <c r="AB94" s="4" t="inlineStr"/>
      <c r="AC94" s="5" t="inlineStr"/>
      <c r="AD94" s="4" t="inlineStr"/>
      <c r="AE94" s="4" t="inlineStr"/>
      <c r="AF94" s="5" t="inlineStr"/>
      <c r="AG94" s="4" t="inlineStr"/>
      <c r="AH94" s="4" t="inlineStr"/>
      <c r="AI94" s="5" t="inlineStr"/>
      <c r="AJ94" s="4" t="inlineStr"/>
      <c r="AK94" s="4" t="inlineStr"/>
      <c r="AL94" s="5" t="inlineStr"/>
      <c r="AM94" s="4" t="inlineStr"/>
      <c r="AN94" s="4" t="inlineStr"/>
      <c r="AO94" s="5" t="n">
        <v>0</v>
      </c>
      <c r="AP94" s="4" t="n">
        <v>16</v>
      </c>
      <c r="AQ94" s="4" t="inlineStr">
        <is>
          <t>16.0 Hours Remaining</t>
        </is>
      </c>
      <c r="AR94" s="6" t="inlineStr">
        <is>
          <t>0.0%</t>
        </is>
      </c>
      <c r="AS94" s="7" t="inlineStr">
        <is>
          <t>Critical</t>
        </is>
      </c>
      <c r="AT94" s="4" t="inlineStr">
        <is>
          <t>Sourcing</t>
        </is>
      </c>
      <c r="AU94" s="5" t="inlineStr">
        <is>
          <t>Vinit Praful Karia</t>
        </is>
      </c>
      <c r="AV94" s="4" t="inlineStr">
        <is>
          <t>0.0%</t>
        </is>
      </c>
    </row>
    <row r="95" ht="36" customHeight="1">
      <c r="A95" s="4" t="n">
        <v>75</v>
      </c>
      <c r="B95" s="4" t="inlineStr">
        <is>
          <t>15</t>
        </is>
      </c>
      <c r="C95" s="5" t="inlineStr">
        <is>
          <t>Sathishkumar Govindarajan</t>
        </is>
      </c>
      <c r="D95" s="4" t="inlineStr"/>
      <c r="E95" s="5" t="inlineStr"/>
      <c r="F95" s="4" t="inlineStr"/>
      <c r="G95" s="4" t="inlineStr"/>
      <c r="H95" s="5" t="inlineStr"/>
      <c r="I95" s="4" t="inlineStr"/>
      <c r="J95" s="4" t="inlineStr"/>
      <c r="K95" s="5" t="inlineStr"/>
      <c r="L95" s="4" t="inlineStr"/>
      <c r="M95" s="4" t="inlineStr"/>
      <c r="N95" s="5" t="inlineStr"/>
      <c r="O95" s="4" t="inlineStr"/>
      <c r="P95" s="4" t="inlineStr"/>
      <c r="Q95" s="5" t="inlineStr"/>
      <c r="R95" s="4" t="inlineStr"/>
      <c r="S95" s="4" t="inlineStr"/>
      <c r="T95" s="5" t="inlineStr"/>
      <c r="U95" s="4" t="inlineStr"/>
      <c r="V95" s="4" t="inlineStr"/>
      <c r="W95" s="5" t="inlineStr"/>
      <c r="X95" s="4" t="inlineStr"/>
      <c r="Y95" s="4" t="inlineStr"/>
      <c r="Z95" s="5" t="inlineStr"/>
      <c r="AA95" s="4" t="inlineStr"/>
      <c r="AB95" s="4" t="inlineStr"/>
      <c r="AC95" s="5" t="inlineStr"/>
      <c r="AD95" s="4" t="inlineStr"/>
      <c r="AE95" s="4" t="inlineStr"/>
      <c r="AF95" s="5" t="inlineStr"/>
      <c r="AG95" s="4" t="inlineStr"/>
      <c r="AH95" s="4" t="inlineStr"/>
      <c r="AI95" s="5" t="inlineStr"/>
      <c r="AJ95" s="4" t="inlineStr"/>
      <c r="AK95" s="4" t="inlineStr"/>
      <c r="AL95" s="5" t="inlineStr"/>
      <c r="AM95" s="4" t="inlineStr"/>
      <c r="AN95" s="4" t="inlineStr"/>
      <c r="AO95" s="5" t="n">
        <v>0</v>
      </c>
      <c r="AP95" s="4" t="n">
        <v>16</v>
      </c>
      <c r="AQ95" s="4" t="inlineStr">
        <is>
          <t>16.0 Hours Remaining</t>
        </is>
      </c>
      <c r="AR95" s="6" t="inlineStr">
        <is>
          <t>0.0%</t>
        </is>
      </c>
      <c r="AS95" s="7" t="inlineStr">
        <is>
          <t>Critical</t>
        </is>
      </c>
      <c r="AT95" s="4" t="inlineStr">
        <is>
          <t>Sourcing</t>
        </is>
      </c>
      <c r="AU95" s="5" t="inlineStr">
        <is>
          <t>Anil Kumar Joshi</t>
        </is>
      </c>
      <c r="AV95" s="4" t="inlineStr">
        <is>
          <t>0.0%</t>
        </is>
      </c>
    </row>
    <row r="96" ht="36" customHeight="1">
      <c r="A96" s="4" t="n">
        <v>76</v>
      </c>
      <c r="B96" s="4" t="inlineStr">
        <is>
          <t>40</t>
        </is>
      </c>
      <c r="C96" s="5" t="inlineStr">
        <is>
          <t>Vinit Praful Karia</t>
        </is>
      </c>
      <c r="D96" s="4" t="inlineStr"/>
      <c r="E96" s="5" t="inlineStr"/>
      <c r="F96" s="4" t="inlineStr"/>
      <c r="G96" s="4" t="inlineStr"/>
      <c r="H96" s="5" t="inlineStr"/>
      <c r="I96" s="4" t="inlineStr"/>
      <c r="J96" s="4" t="inlineStr"/>
      <c r="K96" s="5" t="inlineStr"/>
      <c r="L96" s="4" t="inlineStr"/>
      <c r="M96" s="4" t="inlineStr"/>
      <c r="N96" s="5" t="inlineStr"/>
      <c r="O96" s="4" t="inlineStr"/>
      <c r="P96" s="4" t="inlineStr"/>
      <c r="Q96" s="5" t="inlineStr"/>
      <c r="R96" s="4" t="inlineStr"/>
      <c r="S96" s="4" t="inlineStr"/>
      <c r="T96" s="5" t="inlineStr"/>
      <c r="U96" s="4" t="inlineStr"/>
      <c r="V96" s="4" t="inlineStr"/>
      <c r="W96" s="5" t="inlineStr"/>
      <c r="X96" s="4" t="inlineStr"/>
      <c r="Y96" s="4" t="inlineStr"/>
      <c r="Z96" s="5" t="inlineStr"/>
      <c r="AA96" s="4" t="inlineStr"/>
      <c r="AB96" s="4" t="inlineStr"/>
      <c r="AC96" s="5" t="inlineStr"/>
      <c r="AD96" s="4" t="inlineStr"/>
      <c r="AE96" s="4" t="inlineStr"/>
      <c r="AF96" s="5" t="inlineStr"/>
      <c r="AG96" s="4" t="inlineStr"/>
      <c r="AH96" s="4" t="inlineStr"/>
      <c r="AI96" s="5" t="inlineStr"/>
      <c r="AJ96" s="4" t="inlineStr"/>
      <c r="AK96" s="4" t="inlineStr"/>
      <c r="AL96" s="5" t="inlineStr"/>
      <c r="AM96" s="4" t="inlineStr"/>
      <c r="AN96" s="4" t="inlineStr"/>
      <c r="AO96" s="5" t="n">
        <v>0</v>
      </c>
      <c r="AP96" s="4" t="n">
        <v>16</v>
      </c>
      <c r="AQ96" s="4" t="inlineStr">
        <is>
          <t>16.0 Hours Remaining</t>
        </is>
      </c>
      <c r="AR96" s="6" t="inlineStr">
        <is>
          <t>0.0%</t>
        </is>
      </c>
      <c r="AS96" s="7" t="inlineStr">
        <is>
          <t>Critical</t>
        </is>
      </c>
      <c r="AT96" s="4" t="inlineStr">
        <is>
          <t>Sourcing</t>
        </is>
      </c>
      <c r="AU96" s="5" t="inlineStr">
        <is>
          <t>Prakash Padukhone Muthiah</t>
        </is>
      </c>
      <c r="AV96" s="4" t="inlineStr">
        <is>
          <t>0.0%</t>
        </is>
      </c>
    </row>
    <row r="97" ht="36" customHeight="1">
      <c r="A97" s="4" t="n">
        <v>77</v>
      </c>
      <c r="B97" s="4" t="inlineStr">
        <is>
          <t>53</t>
        </is>
      </c>
      <c r="C97" s="5" t="inlineStr">
        <is>
          <t>Hargan Satish Bhikhalal</t>
        </is>
      </c>
      <c r="D97" s="4" t="inlineStr"/>
      <c r="E97" s="5" t="inlineStr"/>
      <c r="F97" s="4" t="inlineStr"/>
      <c r="G97" s="4" t="inlineStr"/>
      <c r="H97" s="5" t="inlineStr"/>
      <c r="I97" s="4" t="inlineStr"/>
      <c r="J97" s="4" t="inlineStr"/>
      <c r="K97" s="5" t="inlineStr"/>
      <c r="L97" s="4" t="inlineStr"/>
      <c r="M97" s="4" t="inlineStr"/>
      <c r="N97" s="5" t="inlineStr"/>
      <c r="O97" s="4" t="inlineStr"/>
      <c r="P97" s="4" t="inlineStr"/>
      <c r="Q97" s="5" t="inlineStr"/>
      <c r="R97" s="4" t="inlineStr"/>
      <c r="S97" s="4" t="inlineStr"/>
      <c r="T97" s="5" t="inlineStr"/>
      <c r="U97" s="4" t="inlineStr"/>
      <c r="V97" s="4" t="inlineStr"/>
      <c r="W97" s="5" t="inlineStr"/>
      <c r="X97" s="4" t="inlineStr"/>
      <c r="Y97" s="4" t="inlineStr"/>
      <c r="Z97" s="5" t="inlineStr"/>
      <c r="AA97" s="4" t="inlineStr"/>
      <c r="AB97" s="4" t="inlineStr"/>
      <c r="AC97" s="5" t="inlineStr"/>
      <c r="AD97" s="4" t="inlineStr"/>
      <c r="AE97" s="4" t="inlineStr"/>
      <c r="AF97" s="5" t="inlineStr"/>
      <c r="AG97" s="4" t="inlineStr"/>
      <c r="AH97" s="4" t="inlineStr"/>
      <c r="AI97" s="5" t="inlineStr"/>
      <c r="AJ97" s="4" t="inlineStr"/>
      <c r="AK97" s="4" t="inlineStr"/>
      <c r="AL97" s="5" t="inlineStr"/>
      <c r="AM97" s="4" t="inlineStr"/>
      <c r="AN97" s="4" t="inlineStr"/>
      <c r="AO97" s="5" t="n">
        <v>0</v>
      </c>
      <c r="AP97" s="4" t="n">
        <v>16</v>
      </c>
      <c r="AQ97" s="4" t="inlineStr">
        <is>
          <t>16.0 Hours Remaining</t>
        </is>
      </c>
      <c r="AR97" s="6" t="inlineStr">
        <is>
          <t>0.0%</t>
        </is>
      </c>
      <c r="AS97" s="7" t="inlineStr">
        <is>
          <t>Critical</t>
        </is>
      </c>
      <c r="AT97" s="4" t="inlineStr">
        <is>
          <t>Sourcing</t>
        </is>
      </c>
      <c r="AU97" s="5" t="inlineStr">
        <is>
          <t>Vinit Praful Karia</t>
        </is>
      </c>
      <c r="AV97" s="4" t="inlineStr">
        <is>
          <t>0.0%</t>
        </is>
      </c>
    </row>
    <row r="98" ht="36" customHeight="1">
      <c r="A98" s="4" t="n">
        <v>78</v>
      </c>
      <c r="B98" s="4" t="inlineStr">
        <is>
          <t>59</t>
        </is>
      </c>
      <c r="C98" s="5" t="inlineStr">
        <is>
          <t>Anil Kumar Joshi</t>
        </is>
      </c>
      <c r="D98" s="4" t="inlineStr"/>
      <c r="E98" s="5" t="inlineStr"/>
      <c r="F98" s="4" t="inlineStr"/>
      <c r="G98" s="4" t="inlineStr"/>
      <c r="H98" s="5" t="inlineStr"/>
      <c r="I98" s="4" t="inlineStr"/>
      <c r="J98" s="4" t="inlineStr"/>
      <c r="K98" s="5" t="inlineStr"/>
      <c r="L98" s="4" t="inlineStr"/>
      <c r="M98" s="4" t="inlineStr"/>
      <c r="N98" s="5" t="inlineStr"/>
      <c r="O98" s="4" t="inlineStr"/>
      <c r="P98" s="4" t="inlineStr"/>
      <c r="Q98" s="5" t="inlineStr"/>
      <c r="R98" s="4" t="inlineStr"/>
      <c r="S98" s="4" t="inlineStr"/>
      <c r="T98" s="5" t="inlineStr"/>
      <c r="U98" s="4" t="inlineStr"/>
      <c r="V98" s="4" t="inlineStr"/>
      <c r="W98" s="5" t="inlineStr"/>
      <c r="X98" s="4" t="inlineStr"/>
      <c r="Y98" s="4" t="inlineStr"/>
      <c r="Z98" s="5" t="inlineStr"/>
      <c r="AA98" s="4" t="inlineStr"/>
      <c r="AB98" s="4" t="inlineStr"/>
      <c r="AC98" s="5" t="inlineStr"/>
      <c r="AD98" s="4" t="inlineStr"/>
      <c r="AE98" s="4" t="inlineStr"/>
      <c r="AF98" s="5" t="inlineStr"/>
      <c r="AG98" s="4" t="inlineStr"/>
      <c r="AH98" s="4" t="inlineStr"/>
      <c r="AI98" s="5" t="inlineStr"/>
      <c r="AJ98" s="4" t="inlineStr"/>
      <c r="AK98" s="4" t="inlineStr"/>
      <c r="AL98" s="5" t="inlineStr"/>
      <c r="AM98" s="4" t="inlineStr"/>
      <c r="AN98" s="4" t="inlineStr"/>
      <c r="AO98" s="5" t="n">
        <v>0</v>
      </c>
      <c r="AP98" s="4" t="n">
        <v>16</v>
      </c>
      <c r="AQ98" s="4" t="inlineStr">
        <is>
          <t>16.0 Hours Remaining</t>
        </is>
      </c>
      <c r="AR98" s="6" t="inlineStr">
        <is>
          <t>0.0%</t>
        </is>
      </c>
      <c r="AS98" s="7" t="inlineStr">
        <is>
          <t>Critical</t>
        </is>
      </c>
      <c r="AT98" s="4" t="inlineStr">
        <is>
          <t>Sourcing</t>
        </is>
      </c>
      <c r="AU98" s="5" t="inlineStr">
        <is>
          <t>Ketan BC</t>
        </is>
      </c>
      <c r="AV98" s="4" t="inlineStr">
        <is>
          <t>0.0%</t>
        </is>
      </c>
    </row>
    <row r="99" ht="36" customHeight="1">
      <c r="A99" s="4" t="n">
        <v>79</v>
      </c>
      <c r="B99" s="4" t="inlineStr">
        <is>
          <t>69</t>
        </is>
      </c>
      <c r="C99" s="5" t="inlineStr">
        <is>
          <t>Supritha Raja</t>
        </is>
      </c>
      <c r="D99" s="4" t="inlineStr"/>
      <c r="E99" s="5" t="inlineStr"/>
      <c r="F99" s="4" t="inlineStr"/>
      <c r="G99" s="4" t="inlineStr"/>
      <c r="H99" s="5" t="inlineStr"/>
      <c r="I99" s="4" t="inlineStr"/>
      <c r="J99" s="4" t="inlineStr"/>
      <c r="K99" s="5" t="inlineStr"/>
      <c r="L99" s="4" t="inlineStr"/>
      <c r="M99" s="4" t="inlineStr"/>
      <c r="N99" s="5" t="inlineStr"/>
      <c r="O99" s="4" t="inlineStr"/>
      <c r="P99" s="4" t="inlineStr"/>
      <c r="Q99" s="5" t="inlineStr"/>
      <c r="R99" s="4" t="inlineStr"/>
      <c r="S99" s="4" t="inlineStr"/>
      <c r="T99" s="5" t="inlineStr"/>
      <c r="U99" s="4" t="inlineStr"/>
      <c r="V99" s="4" t="inlineStr"/>
      <c r="W99" s="5" t="inlineStr"/>
      <c r="X99" s="4" t="inlineStr"/>
      <c r="Y99" s="4" t="inlineStr"/>
      <c r="Z99" s="5" t="inlineStr"/>
      <c r="AA99" s="4" t="inlineStr"/>
      <c r="AB99" s="4" t="inlineStr"/>
      <c r="AC99" s="5" t="inlineStr"/>
      <c r="AD99" s="4" t="inlineStr"/>
      <c r="AE99" s="4" t="inlineStr"/>
      <c r="AF99" s="5" t="inlineStr"/>
      <c r="AG99" s="4" t="inlineStr"/>
      <c r="AH99" s="4" t="inlineStr"/>
      <c r="AI99" s="5" t="inlineStr"/>
      <c r="AJ99" s="4" t="inlineStr"/>
      <c r="AK99" s="4" t="inlineStr"/>
      <c r="AL99" s="5" t="inlineStr"/>
      <c r="AM99" s="4" t="inlineStr"/>
      <c r="AN99" s="4" t="inlineStr"/>
      <c r="AO99" s="5" t="n">
        <v>0</v>
      </c>
      <c r="AP99" s="4" t="n">
        <v>16</v>
      </c>
      <c r="AQ99" s="4" t="inlineStr">
        <is>
          <t>16.0 Hours Remaining</t>
        </is>
      </c>
      <c r="AR99" s="6" t="inlineStr">
        <is>
          <t>0.0%</t>
        </is>
      </c>
      <c r="AS99" s="7" t="inlineStr">
        <is>
          <t>Critical</t>
        </is>
      </c>
      <c r="AT99" s="4" t="inlineStr">
        <is>
          <t>Sourcing</t>
        </is>
      </c>
      <c r="AU99" s="5" t="inlineStr">
        <is>
          <t>Anil Kumar Joshi</t>
        </is>
      </c>
      <c r="AV99" s="4" t="inlineStr">
        <is>
          <t>0.0%</t>
        </is>
      </c>
    </row>
    <row r="100" ht="36" customHeight="1">
      <c r="A100" s="4" t="n">
        <v>80</v>
      </c>
      <c r="B100" s="4" t="inlineStr">
        <is>
          <t>83</t>
        </is>
      </c>
      <c r="C100" s="5" t="inlineStr">
        <is>
          <t>Venkataramanan Dharmaraj</t>
        </is>
      </c>
      <c r="D100" s="4" t="inlineStr"/>
      <c r="E100" s="5" t="inlineStr"/>
      <c r="F100" s="4" t="inlineStr"/>
      <c r="G100" s="4" t="inlineStr"/>
      <c r="H100" s="5" t="inlineStr"/>
      <c r="I100" s="4" t="inlineStr"/>
      <c r="J100" s="4" t="inlineStr"/>
      <c r="K100" s="5" t="inlineStr"/>
      <c r="L100" s="4" t="inlineStr"/>
      <c r="M100" s="4" t="inlineStr"/>
      <c r="N100" s="5" t="inlineStr"/>
      <c r="O100" s="4" t="inlineStr"/>
      <c r="P100" s="4" t="inlineStr"/>
      <c r="Q100" s="5" t="inlineStr"/>
      <c r="R100" s="4" t="inlineStr"/>
      <c r="S100" s="4" t="inlineStr"/>
      <c r="T100" s="5" t="inlineStr"/>
      <c r="U100" s="4" t="inlineStr"/>
      <c r="V100" s="4" t="inlineStr"/>
      <c r="W100" s="5" t="inlineStr"/>
      <c r="X100" s="4" t="inlineStr"/>
      <c r="Y100" s="4" t="inlineStr"/>
      <c r="Z100" s="5" t="inlineStr"/>
      <c r="AA100" s="4" t="inlineStr"/>
      <c r="AB100" s="4" t="inlineStr"/>
      <c r="AC100" s="5" t="inlineStr"/>
      <c r="AD100" s="4" t="inlineStr"/>
      <c r="AE100" s="4" t="inlineStr"/>
      <c r="AF100" s="5" t="inlineStr"/>
      <c r="AG100" s="4" t="inlineStr"/>
      <c r="AH100" s="4" t="inlineStr"/>
      <c r="AI100" s="5" t="inlineStr"/>
      <c r="AJ100" s="4" t="inlineStr"/>
      <c r="AK100" s="4" t="inlineStr"/>
      <c r="AL100" s="5" t="inlineStr"/>
      <c r="AM100" s="4" t="inlineStr"/>
      <c r="AN100" s="4" t="inlineStr"/>
      <c r="AO100" s="5" t="n">
        <v>0</v>
      </c>
      <c r="AP100" s="4" t="n">
        <v>16</v>
      </c>
      <c r="AQ100" s="4" t="inlineStr">
        <is>
          <t>16.0 Hours Remaining</t>
        </is>
      </c>
      <c r="AR100" s="6" t="inlineStr">
        <is>
          <t>0.0%</t>
        </is>
      </c>
      <c r="AS100" s="7" t="inlineStr">
        <is>
          <t>Critical</t>
        </is>
      </c>
      <c r="AT100" s="4" t="inlineStr">
        <is>
          <t>Sourcing</t>
        </is>
      </c>
      <c r="AU100" s="5" t="inlineStr">
        <is>
          <t>Anil Kumar Joshi</t>
        </is>
      </c>
      <c r="AV100" s="4" t="inlineStr">
        <is>
          <t>0.0%</t>
        </is>
      </c>
    </row>
    <row r="101" ht="36" customHeight="1">
      <c r="A101" s="4" t="n">
        <v>81</v>
      </c>
      <c r="B101" s="4" t="inlineStr">
        <is>
          <t>88</t>
        </is>
      </c>
      <c r="C101" s="5" t="inlineStr">
        <is>
          <t>Devar S</t>
        </is>
      </c>
      <c r="D101" s="4" t="inlineStr"/>
      <c r="E101" s="5" t="inlineStr"/>
      <c r="F101" s="4" t="inlineStr"/>
      <c r="G101" s="4" t="inlineStr"/>
      <c r="H101" s="5" t="inlineStr"/>
      <c r="I101" s="4" t="inlineStr"/>
      <c r="J101" s="4" t="inlineStr"/>
      <c r="K101" s="5" t="inlineStr"/>
      <c r="L101" s="4" t="inlineStr"/>
      <c r="M101" s="4" t="inlineStr"/>
      <c r="N101" s="5" t="inlineStr"/>
      <c r="O101" s="4" t="inlineStr"/>
      <c r="P101" s="4" t="inlineStr"/>
      <c r="Q101" s="5" t="inlineStr"/>
      <c r="R101" s="4" t="inlineStr"/>
      <c r="S101" s="4" t="inlineStr"/>
      <c r="T101" s="5" t="inlineStr"/>
      <c r="U101" s="4" t="inlineStr"/>
      <c r="V101" s="4" t="inlineStr"/>
      <c r="W101" s="5" t="inlineStr"/>
      <c r="X101" s="4" t="inlineStr"/>
      <c r="Y101" s="4" t="inlineStr"/>
      <c r="Z101" s="5" t="inlineStr"/>
      <c r="AA101" s="4" t="inlineStr"/>
      <c r="AB101" s="4" t="inlineStr"/>
      <c r="AC101" s="5" t="inlineStr"/>
      <c r="AD101" s="4" t="inlineStr"/>
      <c r="AE101" s="4" t="inlineStr"/>
      <c r="AF101" s="5" t="inlineStr"/>
      <c r="AG101" s="4" t="inlineStr"/>
      <c r="AH101" s="4" t="inlineStr"/>
      <c r="AI101" s="5" t="inlineStr"/>
      <c r="AJ101" s="4" t="inlineStr"/>
      <c r="AK101" s="4" t="inlineStr"/>
      <c r="AL101" s="5" t="inlineStr"/>
      <c r="AM101" s="4" t="inlineStr"/>
      <c r="AN101" s="4" t="inlineStr"/>
      <c r="AO101" s="5" t="n">
        <v>0</v>
      </c>
      <c r="AP101" s="4" t="n">
        <v>16</v>
      </c>
      <c r="AQ101" s="4" t="inlineStr">
        <is>
          <t>16.0 Hours Remaining</t>
        </is>
      </c>
      <c r="AR101" s="6" t="inlineStr">
        <is>
          <t>0.0%</t>
        </is>
      </c>
      <c r="AS101" s="7" t="inlineStr">
        <is>
          <t>Critical</t>
        </is>
      </c>
      <c r="AT101" s="4" t="inlineStr">
        <is>
          <t>Sourcing</t>
        </is>
      </c>
      <c r="AU101" s="5" t="inlineStr">
        <is>
          <t>Anil Kumar Joshi</t>
        </is>
      </c>
      <c r="AV101" s="4" t="inlineStr">
        <is>
          <t>0.0%</t>
        </is>
      </c>
    </row>
    <row r="102" ht="24" customHeight="1">
      <c r="A102" s="8" t="inlineStr"/>
      <c r="B102" s="8" t="inlineStr"/>
      <c r="C102" s="9" t="inlineStr">
        <is>
          <t>Sourcing Subtotal</t>
        </is>
      </c>
      <c r="D102" s="8" t="inlineStr"/>
      <c r="E102" s="9" t="inlineStr"/>
      <c r="F102" s="10">
        <f>SUM(F94:F101)</f>
        <v/>
      </c>
      <c r="G102" s="10">
        <f>SUM(G94:G101)</f>
        <v/>
      </c>
      <c r="H102" s="9" t="inlineStr"/>
      <c r="I102" s="10">
        <f>SUM(I94:I101)</f>
        <v/>
      </c>
      <c r="J102" s="10">
        <f>SUM(J94:J101)</f>
        <v/>
      </c>
      <c r="K102" s="9" t="inlineStr"/>
      <c r="L102" s="10">
        <f>SUM(L94:L101)</f>
        <v/>
      </c>
      <c r="M102" s="10">
        <f>SUM(M94:M101)</f>
        <v/>
      </c>
      <c r="N102" s="9" t="inlineStr"/>
      <c r="O102" s="10">
        <f>SUM(O94:O101)</f>
        <v/>
      </c>
      <c r="P102" s="10">
        <f>SUM(P94:P101)</f>
        <v/>
      </c>
      <c r="Q102" s="9" t="inlineStr"/>
      <c r="R102" s="10">
        <f>SUM(R94:R101)</f>
        <v/>
      </c>
      <c r="S102" s="10">
        <f>SUM(S94:S101)</f>
        <v/>
      </c>
      <c r="T102" s="9" t="inlineStr"/>
      <c r="U102" s="10">
        <f>SUM(U94:U101)</f>
        <v/>
      </c>
      <c r="V102" s="10">
        <f>SUM(V94:V101)</f>
        <v/>
      </c>
      <c r="W102" s="9" t="inlineStr"/>
      <c r="X102" s="10">
        <f>SUM(X94:X101)</f>
        <v/>
      </c>
      <c r="Y102" s="10">
        <f>SUM(Y94:Y101)</f>
        <v/>
      </c>
      <c r="Z102" s="9" t="inlineStr"/>
      <c r="AA102" s="10">
        <f>SUM(AA94:AA101)</f>
        <v/>
      </c>
      <c r="AB102" s="10">
        <f>SUM(AB94:AB101)</f>
        <v/>
      </c>
      <c r="AC102" s="9" t="inlineStr"/>
      <c r="AD102" s="10">
        <f>SUM(AD94:AD101)</f>
        <v/>
      </c>
      <c r="AE102" s="10">
        <f>SUM(AE94:AE101)</f>
        <v/>
      </c>
      <c r="AF102" s="9" t="inlineStr"/>
      <c r="AG102" s="10">
        <f>SUM(AG94:AG101)</f>
        <v/>
      </c>
      <c r="AH102" s="10">
        <f>SUM(AH94:AH101)</f>
        <v/>
      </c>
      <c r="AI102" s="9" t="inlineStr"/>
      <c r="AJ102" s="10">
        <f>SUM(AJ94:AJ101)</f>
        <v/>
      </c>
      <c r="AK102" s="10">
        <f>SUM(AK94:AK101)</f>
        <v/>
      </c>
      <c r="AL102" s="9" t="inlineStr"/>
      <c r="AM102" s="10">
        <f>SUM(AM94:AM101)</f>
        <v/>
      </c>
      <c r="AN102" s="10">
        <f>SUM(AN94:AN101)</f>
        <v/>
      </c>
      <c r="AO102" s="11">
        <f>SUM(AO94:AO101)</f>
        <v/>
      </c>
      <c r="AP102" s="10">
        <f>SUM(AP94:AP101)</f>
        <v/>
      </c>
      <c r="AQ102" s="10">
        <f>SUM(AQ94:AQ101)</f>
        <v/>
      </c>
      <c r="AR102" s="12">
        <f>IF(AP102&gt;0, AO102/AP102, 0)</f>
        <v/>
      </c>
      <c r="AS102" s="10">
        <f>IF(AR102&gt;=1.0, "Achieved", IF(AR102&gt;=0.75, "Good", IF(AR102&gt;=0.5, "Moderate", IF(AR102&gt;=0.25, "Low", "Critical"))))</f>
        <v/>
      </c>
      <c r="AT102" s="10" t="inlineStr">
        <is>
          <t>Sourcing</t>
        </is>
      </c>
      <c r="AU102" s="9" t="inlineStr"/>
      <c r="AV102" s="13">
        <f>AVERAGE(AV94:AV101)</f>
        <v/>
      </c>
    </row>
    <row r="103" ht="36" customHeight="1">
      <c r="A103" s="4" t="n">
        <v>82</v>
      </c>
      <c r="B103" s="4" t="inlineStr">
        <is>
          <t>006</t>
        </is>
      </c>
      <c r="C103" s="5" t="inlineStr">
        <is>
          <t>Nalini Vasudevan</t>
        </is>
      </c>
      <c r="D103" s="4" t="inlineStr"/>
      <c r="E103" s="5" t="inlineStr"/>
      <c r="F103" s="4" t="inlineStr"/>
      <c r="G103" s="4" t="inlineStr"/>
      <c r="H103" s="5" t="inlineStr"/>
      <c r="I103" s="4" t="inlineStr"/>
      <c r="J103" s="4" t="inlineStr"/>
      <c r="K103" s="5" t="inlineStr"/>
      <c r="L103" s="4" t="inlineStr"/>
      <c r="M103" s="4" t="inlineStr"/>
      <c r="N103" s="5" t="inlineStr"/>
      <c r="O103" s="4" t="inlineStr"/>
      <c r="P103" s="4" t="inlineStr"/>
      <c r="Q103" s="5" t="inlineStr"/>
      <c r="R103" s="4" t="inlineStr"/>
      <c r="S103" s="4" t="inlineStr"/>
      <c r="T103" s="5" t="inlineStr"/>
      <c r="U103" s="4" t="inlineStr"/>
      <c r="V103" s="4" t="inlineStr"/>
      <c r="W103" s="5" t="inlineStr"/>
      <c r="X103" s="4" t="inlineStr"/>
      <c r="Y103" s="4" t="inlineStr"/>
      <c r="Z103" s="5" t="inlineStr"/>
      <c r="AA103" s="4" t="inlineStr"/>
      <c r="AB103" s="4" t="inlineStr"/>
      <c r="AC103" s="5" t="inlineStr"/>
      <c r="AD103" s="4" t="inlineStr"/>
      <c r="AE103" s="4" t="inlineStr"/>
      <c r="AF103" s="5" t="inlineStr"/>
      <c r="AG103" s="4" t="inlineStr"/>
      <c r="AH103" s="4" t="inlineStr"/>
      <c r="AI103" s="5" t="inlineStr"/>
      <c r="AJ103" s="4" t="inlineStr"/>
      <c r="AK103" s="4" t="inlineStr"/>
      <c r="AL103" s="5" t="inlineStr"/>
      <c r="AM103" s="4" t="inlineStr"/>
      <c r="AN103" s="4" t="inlineStr"/>
      <c r="AO103" s="5" t="n">
        <v>0</v>
      </c>
      <c r="AP103" s="4" t="n">
        <v>16</v>
      </c>
      <c r="AQ103" s="4" t="inlineStr">
        <is>
          <t>16.0 Hours Remaining</t>
        </is>
      </c>
      <c r="AR103" s="6" t="inlineStr">
        <is>
          <t>0.0%</t>
        </is>
      </c>
      <c r="AS103" s="7" t="inlineStr">
        <is>
          <t>Critical</t>
        </is>
      </c>
      <c r="AT103" s="4" t="inlineStr">
        <is>
          <t>Stores</t>
        </is>
      </c>
      <c r="AU103" s="5" t="inlineStr">
        <is>
          <t>Sakthivel Muthu</t>
        </is>
      </c>
      <c r="AV103" s="4" t="inlineStr">
        <is>
          <t>0.0%</t>
        </is>
      </c>
    </row>
    <row r="104" ht="36" customHeight="1">
      <c r="A104" s="4" t="n">
        <v>83</v>
      </c>
      <c r="B104" s="4" t="inlineStr">
        <is>
          <t>32</t>
        </is>
      </c>
      <c r="C104" s="5" t="inlineStr">
        <is>
          <t>Sakthivel Muthu</t>
        </is>
      </c>
      <c r="D104" s="4" t="inlineStr"/>
      <c r="E104" s="5" t="inlineStr"/>
      <c r="F104" s="4" t="inlineStr"/>
      <c r="G104" s="4" t="inlineStr"/>
      <c r="H104" s="5" t="inlineStr"/>
      <c r="I104" s="4" t="inlineStr"/>
      <c r="J104" s="4" t="inlineStr"/>
      <c r="K104" s="5" t="inlineStr"/>
      <c r="L104" s="4" t="inlineStr"/>
      <c r="M104" s="4" t="inlineStr"/>
      <c r="N104" s="5" t="inlineStr"/>
      <c r="O104" s="4" t="inlineStr"/>
      <c r="P104" s="4" t="inlineStr"/>
      <c r="Q104" s="5" t="inlineStr"/>
      <c r="R104" s="4" t="inlineStr"/>
      <c r="S104" s="4" t="inlineStr"/>
      <c r="T104" s="5" t="inlineStr"/>
      <c r="U104" s="4" t="inlineStr"/>
      <c r="V104" s="4" t="inlineStr"/>
      <c r="W104" s="5" t="inlineStr"/>
      <c r="X104" s="4" t="inlineStr"/>
      <c r="Y104" s="4" t="inlineStr"/>
      <c r="Z104" s="5" t="inlineStr"/>
      <c r="AA104" s="4" t="inlineStr"/>
      <c r="AB104" s="4" t="inlineStr"/>
      <c r="AC104" s="5" t="inlineStr"/>
      <c r="AD104" s="4" t="inlineStr"/>
      <c r="AE104" s="4" t="inlineStr"/>
      <c r="AF104" s="5" t="inlineStr"/>
      <c r="AG104" s="4" t="inlineStr"/>
      <c r="AH104" s="4" t="inlineStr"/>
      <c r="AI104" s="5" t="inlineStr"/>
      <c r="AJ104" s="4" t="inlineStr"/>
      <c r="AK104" s="4" t="inlineStr"/>
      <c r="AL104" s="5" t="inlineStr"/>
      <c r="AM104" s="4" t="inlineStr"/>
      <c r="AN104" s="4" t="inlineStr"/>
      <c r="AO104" s="5" t="n">
        <v>0</v>
      </c>
      <c r="AP104" s="4" t="n">
        <v>16</v>
      </c>
      <c r="AQ104" s="4" t="inlineStr">
        <is>
          <t>16.0 Hours Remaining</t>
        </is>
      </c>
      <c r="AR104" s="6" t="inlineStr">
        <is>
          <t>0.0%</t>
        </is>
      </c>
      <c r="AS104" s="7" t="inlineStr">
        <is>
          <t>Critical</t>
        </is>
      </c>
      <c r="AT104" s="4" t="inlineStr">
        <is>
          <t>Stores</t>
        </is>
      </c>
      <c r="AU104" s="5" t="inlineStr">
        <is>
          <t>Anil Kumar Joshi</t>
        </is>
      </c>
      <c r="AV104" s="4" t="inlineStr">
        <is>
          <t>0.0%</t>
        </is>
      </c>
    </row>
    <row r="105" ht="36" customHeight="1">
      <c r="A105" s="4" t="n">
        <v>84</v>
      </c>
      <c r="B105" s="4" t="inlineStr">
        <is>
          <t>47</t>
        </is>
      </c>
      <c r="C105" s="5" t="inlineStr">
        <is>
          <t>Borkhatariya Tushar Jentilal</t>
        </is>
      </c>
      <c r="D105" s="4" t="inlineStr"/>
      <c r="E105" s="5" t="inlineStr"/>
      <c r="F105" s="4" t="inlineStr"/>
      <c r="G105" s="4" t="inlineStr"/>
      <c r="H105" s="5" t="inlineStr"/>
      <c r="I105" s="4" t="inlineStr"/>
      <c r="J105" s="4" t="inlineStr"/>
      <c r="K105" s="5" t="inlineStr"/>
      <c r="L105" s="4" t="inlineStr"/>
      <c r="M105" s="4" t="inlineStr"/>
      <c r="N105" s="5" t="inlineStr"/>
      <c r="O105" s="4" t="inlineStr"/>
      <c r="P105" s="4" t="inlineStr"/>
      <c r="Q105" s="5" t="inlineStr"/>
      <c r="R105" s="4" t="inlineStr"/>
      <c r="S105" s="4" t="inlineStr"/>
      <c r="T105" s="5" t="inlineStr"/>
      <c r="U105" s="4" t="inlineStr"/>
      <c r="V105" s="4" t="inlineStr"/>
      <c r="W105" s="5" t="inlineStr"/>
      <c r="X105" s="4" t="inlineStr"/>
      <c r="Y105" s="4" t="inlineStr"/>
      <c r="Z105" s="5" t="inlineStr"/>
      <c r="AA105" s="4" t="inlineStr"/>
      <c r="AB105" s="4" t="inlineStr"/>
      <c r="AC105" s="5" t="inlineStr"/>
      <c r="AD105" s="4" t="inlineStr"/>
      <c r="AE105" s="4" t="inlineStr"/>
      <c r="AF105" s="5" t="inlineStr"/>
      <c r="AG105" s="4" t="inlineStr"/>
      <c r="AH105" s="4" t="inlineStr"/>
      <c r="AI105" s="5" t="inlineStr"/>
      <c r="AJ105" s="4" t="inlineStr"/>
      <c r="AK105" s="4" t="inlineStr"/>
      <c r="AL105" s="5" t="inlineStr"/>
      <c r="AM105" s="4" t="inlineStr"/>
      <c r="AN105" s="4" t="inlineStr"/>
      <c r="AO105" s="5" t="n">
        <v>0</v>
      </c>
      <c r="AP105" s="4" t="n">
        <v>16</v>
      </c>
      <c r="AQ105" s="4" t="inlineStr">
        <is>
          <t>16.0 Hours Remaining</t>
        </is>
      </c>
      <c r="AR105" s="6" t="inlineStr">
        <is>
          <t>0.0%</t>
        </is>
      </c>
      <c r="AS105" s="7" t="inlineStr">
        <is>
          <t>Critical</t>
        </is>
      </c>
      <c r="AT105" s="4" t="inlineStr">
        <is>
          <t>Stores</t>
        </is>
      </c>
      <c r="AU105" s="5" t="inlineStr">
        <is>
          <t>Vinit Praful Karia</t>
        </is>
      </c>
      <c r="AV105" s="4" t="inlineStr">
        <is>
          <t>0.0%</t>
        </is>
      </c>
    </row>
    <row r="106" ht="36" customHeight="1">
      <c r="A106" s="4" t="n">
        <v>85</v>
      </c>
      <c r="B106" s="4" t="inlineStr">
        <is>
          <t>56</t>
        </is>
      </c>
      <c r="C106" s="5" t="inlineStr">
        <is>
          <t>Swetha Swetha</t>
        </is>
      </c>
      <c r="D106" s="4" t="inlineStr"/>
      <c r="E106" s="5" t="inlineStr"/>
      <c r="F106" s="4" t="inlineStr"/>
      <c r="G106" s="4" t="inlineStr"/>
      <c r="H106" s="5" t="inlineStr"/>
      <c r="I106" s="4" t="inlineStr"/>
      <c r="J106" s="4" t="inlineStr"/>
      <c r="K106" s="5" t="inlineStr"/>
      <c r="L106" s="4" t="inlineStr"/>
      <c r="M106" s="4" t="inlineStr"/>
      <c r="N106" s="5" t="inlineStr"/>
      <c r="O106" s="4" t="inlineStr"/>
      <c r="P106" s="4" t="inlineStr"/>
      <c r="Q106" s="5" t="inlineStr"/>
      <c r="R106" s="4" t="inlineStr"/>
      <c r="S106" s="4" t="inlineStr"/>
      <c r="T106" s="5" t="inlineStr"/>
      <c r="U106" s="4" t="inlineStr"/>
      <c r="V106" s="4" t="inlineStr"/>
      <c r="W106" s="5" t="inlineStr"/>
      <c r="X106" s="4" t="inlineStr"/>
      <c r="Y106" s="4" t="inlineStr"/>
      <c r="Z106" s="5" t="inlineStr"/>
      <c r="AA106" s="4" t="inlineStr"/>
      <c r="AB106" s="4" t="inlineStr"/>
      <c r="AC106" s="5" t="inlineStr"/>
      <c r="AD106" s="4" t="inlineStr"/>
      <c r="AE106" s="4" t="inlineStr"/>
      <c r="AF106" s="5" t="inlineStr"/>
      <c r="AG106" s="4" t="inlineStr"/>
      <c r="AH106" s="4" t="inlineStr"/>
      <c r="AI106" s="5" t="inlineStr"/>
      <c r="AJ106" s="4" t="inlineStr"/>
      <c r="AK106" s="4" t="inlineStr"/>
      <c r="AL106" s="5" t="inlineStr"/>
      <c r="AM106" s="4" t="inlineStr"/>
      <c r="AN106" s="4" t="inlineStr"/>
      <c r="AO106" s="5" t="n">
        <v>0</v>
      </c>
      <c r="AP106" s="4" t="n">
        <v>16</v>
      </c>
      <c r="AQ106" s="4" t="inlineStr">
        <is>
          <t>16.0 Hours Remaining</t>
        </is>
      </c>
      <c r="AR106" s="6" t="inlineStr">
        <is>
          <t>0.0%</t>
        </is>
      </c>
      <c r="AS106" s="7" t="inlineStr">
        <is>
          <t>Critical</t>
        </is>
      </c>
      <c r="AT106" s="4" t="inlineStr">
        <is>
          <t>Stores</t>
        </is>
      </c>
      <c r="AU106" s="5" t="inlineStr">
        <is>
          <t>Anil Kumar Joshi</t>
        </is>
      </c>
      <c r="AV106" s="4" t="inlineStr">
        <is>
          <t>0.0%</t>
        </is>
      </c>
    </row>
    <row r="107" ht="36" customHeight="1">
      <c r="A107" s="4" t="n">
        <v>86</v>
      </c>
      <c r="B107" s="4" t="inlineStr">
        <is>
          <t>66</t>
        </is>
      </c>
      <c r="C107" s="5" t="inlineStr">
        <is>
          <t>Babu B</t>
        </is>
      </c>
      <c r="D107" s="4" t="inlineStr"/>
      <c r="E107" s="5" t="inlineStr"/>
      <c r="F107" s="4" t="inlineStr"/>
      <c r="G107" s="4" t="inlineStr"/>
      <c r="H107" s="5" t="inlineStr"/>
      <c r="I107" s="4" t="inlineStr"/>
      <c r="J107" s="4" t="inlineStr"/>
      <c r="K107" s="5" t="inlineStr"/>
      <c r="L107" s="4" t="inlineStr"/>
      <c r="M107" s="4" t="inlineStr"/>
      <c r="N107" s="5" t="inlineStr"/>
      <c r="O107" s="4" t="inlineStr"/>
      <c r="P107" s="4" t="inlineStr"/>
      <c r="Q107" s="5" t="inlineStr"/>
      <c r="R107" s="4" t="inlineStr"/>
      <c r="S107" s="4" t="inlineStr"/>
      <c r="T107" s="5" t="inlineStr"/>
      <c r="U107" s="4" t="inlineStr"/>
      <c r="V107" s="4" t="inlineStr"/>
      <c r="W107" s="5" t="inlineStr"/>
      <c r="X107" s="4" t="inlineStr"/>
      <c r="Y107" s="4" t="inlineStr"/>
      <c r="Z107" s="5" t="inlineStr"/>
      <c r="AA107" s="4" t="inlineStr"/>
      <c r="AB107" s="4" t="inlineStr"/>
      <c r="AC107" s="5" t="inlineStr"/>
      <c r="AD107" s="4" t="inlineStr"/>
      <c r="AE107" s="4" t="inlineStr"/>
      <c r="AF107" s="5" t="inlineStr"/>
      <c r="AG107" s="4" t="inlineStr"/>
      <c r="AH107" s="4" t="inlineStr"/>
      <c r="AI107" s="5" t="inlineStr"/>
      <c r="AJ107" s="4" t="inlineStr"/>
      <c r="AK107" s="4" t="inlineStr"/>
      <c r="AL107" s="5" t="inlineStr"/>
      <c r="AM107" s="4" t="inlineStr"/>
      <c r="AN107" s="4" t="inlineStr"/>
      <c r="AO107" s="5" t="n">
        <v>0</v>
      </c>
      <c r="AP107" s="4" t="n">
        <v>16</v>
      </c>
      <c r="AQ107" s="4" t="inlineStr">
        <is>
          <t>16.0 Hours Remaining</t>
        </is>
      </c>
      <c r="AR107" s="6" t="inlineStr">
        <is>
          <t>0.0%</t>
        </is>
      </c>
      <c r="AS107" s="7" t="inlineStr">
        <is>
          <t>Critical</t>
        </is>
      </c>
      <c r="AT107" s="4" t="inlineStr">
        <is>
          <t>Stores</t>
        </is>
      </c>
      <c r="AU107" s="5" t="inlineStr">
        <is>
          <t>Swetha Swetha</t>
        </is>
      </c>
      <c r="AV107" s="4" t="inlineStr">
        <is>
          <t>0.0%</t>
        </is>
      </c>
    </row>
    <row r="108" ht="36" customHeight="1">
      <c r="A108" s="4" t="n">
        <v>87</v>
      </c>
      <c r="B108" s="4" t="inlineStr">
        <is>
          <t>80</t>
        </is>
      </c>
      <c r="C108" s="5" t="inlineStr">
        <is>
          <t>Elangovan prem</t>
        </is>
      </c>
      <c r="D108" s="4" t="inlineStr"/>
      <c r="E108" s="5" t="inlineStr"/>
      <c r="F108" s="4" t="inlineStr"/>
      <c r="G108" s="4" t="inlineStr"/>
      <c r="H108" s="5" t="inlineStr"/>
      <c r="I108" s="4" t="inlineStr"/>
      <c r="J108" s="4" t="inlineStr"/>
      <c r="K108" s="5" t="inlineStr"/>
      <c r="L108" s="4" t="inlineStr"/>
      <c r="M108" s="4" t="inlineStr"/>
      <c r="N108" s="5" t="inlineStr"/>
      <c r="O108" s="4" t="inlineStr"/>
      <c r="P108" s="4" t="inlineStr"/>
      <c r="Q108" s="5" t="inlineStr"/>
      <c r="R108" s="4" t="inlineStr"/>
      <c r="S108" s="4" t="inlineStr"/>
      <c r="T108" s="5" t="inlineStr"/>
      <c r="U108" s="4" t="inlineStr"/>
      <c r="V108" s="4" t="inlineStr"/>
      <c r="W108" s="5" t="inlineStr"/>
      <c r="X108" s="4" t="inlineStr"/>
      <c r="Y108" s="4" t="inlineStr"/>
      <c r="Z108" s="5" t="inlineStr"/>
      <c r="AA108" s="4" t="inlineStr"/>
      <c r="AB108" s="4" t="inlineStr"/>
      <c r="AC108" s="5" t="inlineStr"/>
      <c r="AD108" s="4" t="inlineStr"/>
      <c r="AE108" s="4" t="inlineStr"/>
      <c r="AF108" s="5" t="inlineStr"/>
      <c r="AG108" s="4" t="inlineStr"/>
      <c r="AH108" s="4" t="inlineStr"/>
      <c r="AI108" s="5" t="inlineStr"/>
      <c r="AJ108" s="4" t="inlineStr"/>
      <c r="AK108" s="4" t="inlineStr"/>
      <c r="AL108" s="5" t="inlineStr"/>
      <c r="AM108" s="4" t="inlineStr"/>
      <c r="AN108" s="4" t="inlineStr"/>
      <c r="AO108" s="5" t="n">
        <v>0</v>
      </c>
      <c r="AP108" s="4" t="n">
        <v>16</v>
      </c>
      <c r="AQ108" s="4" t="inlineStr">
        <is>
          <t>16.0 Hours Remaining</t>
        </is>
      </c>
      <c r="AR108" s="6" t="inlineStr">
        <is>
          <t>0.0%</t>
        </is>
      </c>
      <c r="AS108" s="7" t="inlineStr">
        <is>
          <t>Critical</t>
        </is>
      </c>
      <c r="AT108" s="4" t="inlineStr">
        <is>
          <t>Stores</t>
        </is>
      </c>
      <c r="AU108" s="5" t="inlineStr">
        <is>
          <t>Swetha Swetha</t>
        </is>
      </c>
      <c r="AV108" s="4" t="inlineStr">
        <is>
          <t>0.0%</t>
        </is>
      </c>
    </row>
    <row r="109" ht="36" customHeight="1">
      <c r="A109" s="4" t="n">
        <v>88</v>
      </c>
      <c r="B109" s="4" t="inlineStr">
        <is>
          <t>89</t>
        </is>
      </c>
      <c r="C109" s="5" t="inlineStr">
        <is>
          <t>Prabakaran Amarjothi</t>
        </is>
      </c>
      <c r="D109" s="4" t="inlineStr"/>
      <c r="E109" s="5" t="inlineStr"/>
      <c r="F109" s="4" t="inlineStr"/>
      <c r="G109" s="4" t="inlineStr"/>
      <c r="H109" s="5" t="inlineStr"/>
      <c r="I109" s="4" t="inlineStr"/>
      <c r="J109" s="4" t="inlineStr"/>
      <c r="K109" s="5" t="inlineStr"/>
      <c r="L109" s="4" t="inlineStr"/>
      <c r="M109" s="4" t="inlineStr"/>
      <c r="N109" s="5" t="inlineStr"/>
      <c r="O109" s="4" t="inlineStr"/>
      <c r="P109" s="4" t="inlineStr"/>
      <c r="Q109" s="5" t="inlineStr"/>
      <c r="R109" s="4" t="inlineStr"/>
      <c r="S109" s="4" t="inlineStr"/>
      <c r="T109" s="5" t="inlineStr"/>
      <c r="U109" s="4" t="inlineStr"/>
      <c r="V109" s="4" t="inlineStr"/>
      <c r="W109" s="5" t="inlineStr"/>
      <c r="X109" s="4" t="inlineStr"/>
      <c r="Y109" s="4" t="inlineStr"/>
      <c r="Z109" s="5" t="inlineStr"/>
      <c r="AA109" s="4" t="inlineStr"/>
      <c r="AB109" s="4" t="inlineStr"/>
      <c r="AC109" s="5" t="inlineStr"/>
      <c r="AD109" s="4" t="inlineStr"/>
      <c r="AE109" s="4" t="inlineStr"/>
      <c r="AF109" s="5" t="inlineStr"/>
      <c r="AG109" s="4" t="inlineStr"/>
      <c r="AH109" s="4" t="inlineStr"/>
      <c r="AI109" s="5" t="inlineStr"/>
      <c r="AJ109" s="4" t="inlineStr"/>
      <c r="AK109" s="4" t="inlineStr"/>
      <c r="AL109" s="5" t="inlineStr"/>
      <c r="AM109" s="4" t="inlineStr"/>
      <c r="AN109" s="4" t="inlineStr"/>
      <c r="AO109" s="5" t="n">
        <v>0</v>
      </c>
      <c r="AP109" s="4" t="n">
        <v>16</v>
      </c>
      <c r="AQ109" s="4" t="inlineStr">
        <is>
          <t>16.0 Hours Remaining</t>
        </is>
      </c>
      <c r="AR109" s="6" t="inlineStr">
        <is>
          <t>0.0%</t>
        </is>
      </c>
      <c r="AS109" s="7" t="inlineStr">
        <is>
          <t>Critical</t>
        </is>
      </c>
      <c r="AT109" s="4" t="inlineStr">
        <is>
          <t>Stores</t>
        </is>
      </c>
      <c r="AU109" s="5" t="inlineStr">
        <is>
          <t>Swetha Swetha</t>
        </is>
      </c>
      <c r="AV109" s="4" t="inlineStr">
        <is>
          <t>0.0%</t>
        </is>
      </c>
    </row>
    <row r="110" ht="24" customHeight="1">
      <c r="A110" s="8" t="inlineStr"/>
      <c r="B110" s="8" t="inlineStr"/>
      <c r="C110" s="9" t="inlineStr">
        <is>
          <t>Stores Subtotal</t>
        </is>
      </c>
      <c r="D110" s="8" t="inlineStr"/>
      <c r="E110" s="9" t="inlineStr"/>
      <c r="F110" s="10">
        <f>SUM(F103:F109)</f>
        <v/>
      </c>
      <c r="G110" s="10">
        <f>SUM(G103:G109)</f>
        <v/>
      </c>
      <c r="H110" s="9" t="inlineStr"/>
      <c r="I110" s="10">
        <f>SUM(I103:I109)</f>
        <v/>
      </c>
      <c r="J110" s="10">
        <f>SUM(J103:J109)</f>
        <v/>
      </c>
      <c r="K110" s="9" t="inlineStr"/>
      <c r="L110" s="10">
        <f>SUM(L103:L109)</f>
        <v/>
      </c>
      <c r="M110" s="10">
        <f>SUM(M103:M109)</f>
        <v/>
      </c>
      <c r="N110" s="9" t="inlineStr"/>
      <c r="O110" s="10">
        <f>SUM(O103:O109)</f>
        <v/>
      </c>
      <c r="P110" s="10">
        <f>SUM(P103:P109)</f>
        <v/>
      </c>
      <c r="Q110" s="9" t="inlineStr"/>
      <c r="R110" s="10">
        <f>SUM(R103:R109)</f>
        <v/>
      </c>
      <c r="S110" s="10">
        <f>SUM(S103:S109)</f>
        <v/>
      </c>
      <c r="T110" s="9" t="inlineStr"/>
      <c r="U110" s="10">
        <f>SUM(U103:U109)</f>
        <v/>
      </c>
      <c r="V110" s="10">
        <f>SUM(V103:V109)</f>
        <v/>
      </c>
      <c r="W110" s="9" t="inlineStr"/>
      <c r="X110" s="10">
        <f>SUM(X103:X109)</f>
        <v/>
      </c>
      <c r="Y110" s="10">
        <f>SUM(Y103:Y109)</f>
        <v/>
      </c>
      <c r="Z110" s="9" t="inlineStr"/>
      <c r="AA110" s="10">
        <f>SUM(AA103:AA109)</f>
        <v/>
      </c>
      <c r="AB110" s="10">
        <f>SUM(AB103:AB109)</f>
        <v/>
      </c>
      <c r="AC110" s="9" t="inlineStr"/>
      <c r="AD110" s="10">
        <f>SUM(AD103:AD109)</f>
        <v/>
      </c>
      <c r="AE110" s="10">
        <f>SUM(AE103:AE109)</f>
        <v/>
      </c>
      <c r="AF110" s="9" t="inlineStr"/>
      <c r="AG110" s="10">
        <f>SUM(AG103:AG109)</f>
        <v/>
      </c>
      <c r="AH110" s="10">
        <f>SUM(AH103:AH109)</f>
        <v/>
      </c>
      <c r="AI110" s="9" t="inlineStr"/>
      <c r="AJ110" s="10">
        <f>SUM(AJ103:AJ109)</f>
        <v/>
      </c>
      <c r="AK110" s="10">
        <f>SUM(AK103:AK109)</f>
        <v/>
      </c>
      <c r="AL110" s="9" t="inlineStr"/>
      <c r="AM110" s="10">
        <f>SUM(AM103:AM109)</f>
        <v/>
      </c>
      <c r="AN110" s="10">
        <f>SUM(AN103:AN109)</f>
        <v/>
      </c>
      <c r="AO110" s="11">
        <f>SUM(AO103:AO109)</f>
        <v/>
      </c>
      <c r="AP110" s="10">
        <f>SUM(AP103:AP109)</f>
        <v/>
      </c>
      <c r="AQ110" s="10">
        <f>SUM(AQ103:AQ109)</f>
        <v/>
      </c>
      <c r="AR110" s="12">
        <f>IF(AP110&gt;0, AO110/AP110, 0)</f>
        <v/>
      </c>
      <c r="AS110" s="10">
        <f>IF(AR110&gt;=1.0, "Achieved", IF(AR110&gt;=0.75, "Good", IF(AR110&gt;=0.5, "Moderate", IF(AR110&gt;=0.25, "Low", "Critical"))))</f>
        <v/>
      </c>
      <c r="AT110" s="10" t="inlineStr">
        <is>
          <t>Stores</t>
        </is>
      </c>
      <c r="AU110" s="9" t="inlineStr"/>
      <c r="AV110" s="13">
        <f>AVERAGE(AV103:AV109)</f>
        <v/>
      </c>
    </row>
    <row r="111" ht="26" customHeight="1">
      <c r="A111" s="14" t="inlineStr"/>
      <c r="B111" s="14" t="inlineStr"/>
      <c r="C111" s="15" t="inlineStr">
        <is>
          <t>Master Total</t>
        </is>
      </c>
      <c r="D111" s="14" t="inlineStr"/>
      <c r="E111" s="15" t="inlineStr"/>
      <c r="F111" s="16">
        <f>F13+F16+F19+F23+F25+F29+F31+F33+F37+F39+F49+F51+F53+F90+F93+F102+F110</f>
        <v/>
      </c>
      <c r="G111" s="16">
        <f>G13+G16+G19+G23+G25+G29+G31+G33+G37+G39+G49+G51+G53+G90+G93+G102+G110</f>
        <v/>
      </c>
      <c r="H111" s="15" t="inlineStr"/>
      <c r="I111" s="16">
        <f>I13+I16+I19+I23+I25+I29+I31+I33+I37+I39+I49+I51+I53+I90+I93+I102+I110</f>
        <v/>
      </c>
      <c r="J111" s="16">
        <f>J13+J16+J19+J23+J25+J29+J31+J33+J37+J39+J49+J51+J53+J90+J93+J102+J110</f>
        <v/>
      </c>
      <c r="K111" s="15" t="inlineStr"/>
      <c r="L111" s="16">
        <f>L13+L16+L19+L23+L25+L29+L31+L33+L37+L39+L49+L51+L53+L90+L93+L102+L110</f>
        <v/>
      </c>
      <c r="M111" s="16">
        <f>M13+M16+M19+M23+M25+M29+M31+M33+M37+M39+M49+M51+M53+M90+M93+M102+M110</f>
        <v/>
      </c>
      <c r="N111" s="15" t="inlineStr"/>
      <c r="O111" s="16">
        <f>O13+O16+O19+O23+O25+O29+O31+O33+O37+O39+O49+O51+O53+O90+O93+O102+O110</f>
        <v/>
      </c>
      <c r="P111" s="16">
        <f>P13+P16+P19+P23+P25+P29+P31+P33+P37+P39+P49+P51+P53+P90+P93+P102+P110</f>
        <v/>
      </c>
      <c r="Q111" s="15" t="inlineStr"/>
      <c r="R111" s="16">
        <f>R13+R16+R19+R23+R25+R29+R31+R33+R37+R39+R49+R51+R53+R90+R93+R102+R110</f>
        <v/>
      </c>
      <c r="S111" s="16">
        <f>S13+S16+S19+S23+S25+S29+S31+S33+S37+S39+S49+S51+S53+S90+S93+S102+S110</f>
        <v/>
      </c>
      <c r="T111" s="15" t="inlineStr"/>
      <c r="U111" s="16">
        <f>U13+U16+U19+U23+U25+U29+U31+U33+U37+U39+U49+U51+U53+U90+U93+U102+U110</f>
        <v/>
      </c>
      <c r="V111" s="16">
        <f>V13+V16+V19+V23+V25+V29+V31+V33+V37+V39+V49+V51+V53+V90+V93+V102+V110</f>
        <v/>
      </c>
      <c r="W111" s="15" t="inlineStr"/>
      <c r="X111" s="16">
        <f>X13+X16+X19+X23+X25+X29+X31+X33+X37+X39+X49+X51+X53+X90+X93+X102+X110</f>
        <v/>
      </c>
      <c r="Y111" s="16">
        <f>Y13+Y16+Y19+Y23+Y25+Y29+Y31+Y33+Y37+Y39+Y49+Y51+Y53+Y90+Y93+Y102+Y110</f>
        <v/>
      </c>
      <c r="Z111" s="15" t="inlineStr"/>
      <c r="AA111" s="16">
        <f>AA13+AA16+AA19+AA23+AA25+AA29+AA31+AA33+AA37+AA39+AA49+AA51+AA53+AA90+AA93+AA102+AA110</f>
        <v/>
      </c>
      <c r="AB111" s="16">
        <f>AB13+AB16+AB19+AB23+AB25+AB29+AB31+AB33+AB37+AB39+AB49+AB51+AB53+AB90+AB93+AB102+AB110</f>
        <v/>
      </c>
      <c r="AC111" s="15" t="inlineStr"/>
      <c r="AD111" s="16">
        <f>AD13+AD16+AD19+AD23+AD25+AD29+AD31+AD33+AD37+AD39+AD49+AD51+AD53+AD90+AD93+AD102+AD110</f>
        <v/>
      </c>
      <c r="AE111" s="16">
        <f>AE13+AE16+AE19+AE23+AE25+AE29+AE31+AE33+AE37+AE39+AE49+AE51+AE53+AE90+AE93+AE102+AE110</f>
        <v/>
      </c>
      <c r="AF111" s="15" t="inlineStr"/>
      <c r="AG111" s="16">
        <f>AG13+AG16+AG19+AG23+AG25+AG29+AG31+AG33+AG37+AG39+AG49+AG51+AG53+AG90+AG93+AG102+AG110</f>
        <v/>
      </c>
      <c r="AH111" s="16">
        <f>AH13+AH16+AH19+AH23+AH25+AH29+AH31+AH33+AH37+AH39+AH49+AH51+AH53+AH90+AH93+AH102+AH110</f>
        <v/>
      </c>
      <c r="AI111" s="15" t="inlineStr"/>
      <c r="AJ111" s="16">
        <f>AJ13+AJ16+AJ19+AJ23+AJ25+AJ29+AJ31+AJ33+AJ37+AJ39+AJ49+AJ51+AJ53+AJ90+AJ93+AJ102+AJ110</f>
        <v/>
      </c>
      <c r="AK111" s="16">
        <f>AK13+AK16+AK19+AK23+AK25+AK29+AK31+AK33+AK37+AK39+AK49+AK51+AK53+AK90+AK93+AK102+AK110</f>
        <v/>
      </c>
      <c r="AL111" s="15" t="inlineStr"/>
      <c r="AM111" s="16">
        <f>AM13+AM16+AM19+AM23+AM25+AM29+AM31+AM33+AM37+AM39+AM49+AM51+AM53+AM90+AM93+AM102+AM110</f>
        <v/>
      </c>
      <c r="AN111" s="16">
        <f>AN13+AN16+AN19+AN23+AN25+AN29+AN31+AN33+AN37+AN39+AN49+AN51+AN53+AN90+AN93+AN102+AN110</f>
        <v/>
      </c>
      <c r="AO111" s="17">
        <f>AO13+AO16+AO19+AO23+AO25+AO29+AO31+AO33+AO37+AO39+AO49+AO51+AO53+AO90+AO93+AO102+AO110</f>
        <v/>
      </c>
      <c r="AP111" s="16">
        <f>AP13+AP16+AP19+AP23+AP25+AP29+AP31+AP33+AP37+AP39+AP49+AP51+AP53+AP90+AP93+AP102+AP110</f>
        <v/>
      </c>
      <c r="AQ111" s="16">
        <f>AQ13+AQ16+AQ19+AQ23+AQ25+AQ29+AQ31+AQ33+AQ37+AQ39+AQ49+AQ51+AQ53+AQ90+AQ93+AQ102+AQ110</f>
        <v/>
      </c>
      <c r="AR111" s="18">
        <f>IF(AP111&gt;0, AO111/AP111, 0)</f>
        <v/>
      </c>
      <c r="AS111" s="16">
        <f>IF(AR111&gt;=1.0, "Achieved", IF(AR111&gt;=0.75, "Good", IF(AR111&gt;=0.5, "Moderate", IF(AR111&gt;=0.25, "Low", "Critical"))))</f>
        <v/>
      </c>
      <c r="AT111" s="16" t="inlineStr"/>
      <c r="AU111" s="15" t="inlineStr"/>
      <c r="AV111" s="19">
        <f>AVERAGE(AV13,AV16,AV19,AV23,AV25,AV29,AV31,AV33,AV37,AV39,AV49,AV51,AV53,AV90,AV93,AV102,AV110)</f>
        <v/>
      </c>
    </row>
  </sheetData>
  <autoFilter ref="A5:AV110"/>
  <mergeCells count="26">
    <mergeCell ref="A1:AV1"/>
    <mergeCell ref="C4:C5"/>
    <mergeCell ref="Q4:S4"/>
    <mergeCell ref="AC4:AE4"/>
    <mergeCell ref="AI4:AK4"/>
    <mergeCell ref="D4:D5"/>
    <mergeCell ref="AR4:AR5"/>
    <mergeCell ref="AT4:AT5"/>
    <mergeCell ref="AQ4:AQ5"/>
    <mergeCell ref="Z4:AB4"/>
    <mergeCell ref="AO4:AO5"/>
    <mergeCell ref="A2:AV2"/>
    <mergeCell ref="AL4:AN4"/>
    <mergeCell ref="A4:A5"/>
    <mergeCell ref="K4:M4"/>
    <mergeCell ref="W4:Y4"/>
    <mergeCell ref="N4:P4"/>
    <mergeCell ref="B4:B5"/>
    <mergeCell ref="AP4:AP5"/>
    <mergeCell ref="H4:J4"/>
    <mergeCell ref="AV4:AV5"/>
    <mergeCell ref="T4:V4"/>
    <mergeCell ref="E4:G4"/>
    <mergeCell ref="AS4:AS5"/>
    <mergeCell ref="AU4:AU5"/>
    <mergeCell ref="AF4:A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6" customWidth="1" min="4" max="4"/>
    <col width="18" customWidth="1" min="5" max="5"/>
    <col width="16" customWidth="1" min="6" max="6"/>
    <col width="18" customWidth="1" min="7" max="7"/>
  </cols>
  <sheetData>
    <row r="1" ht="30" customHeight="1">
      <c r="A1" s="1" t="inlineStr">
        <is>
          <t>Monthly Learning Performance Summary</t>
        </is>
      </c>
    </row>
    <row r="3" ht="24" customHeight="1">
      <c r="A3" s="3" t="inlineStr">
        <is>
          <t>Month</t>
        </is>
      </c>
      <c r="B3" s="3" t="inlineStr">
        <is>
          <t>Target Hours</t>
        </is>
      </c>
      <c r="C3" s="3" t="inlineStr">
        <is>
          <t>Actual Hours</t>
        </is>
      </c>
      <c r="D3" s="3" t="inlineStr">
        <is>
          <t>Achievement %</t>
        </is>
      </c>
      <c r="E3" s="3" t="inlineStr">
        <is>
          <t>Attendance %</t>
        </is>
      </c>
      <c r="F3" s="3" t="inlineStr">
        <is>
          <t>Training Count</t>
        </is>
      </c>
      <c r="G3" s="3" t="inlineStr">
        <is>
          <t>Monthly Trends</t>
        </is>
      </c>
    </row>
    <row r="4" ht="20" customHeight="1">
      <c r="A4" s="5" t="inlineStr">
        <is>
          <t>April</t>
        </is>
      </c>
      <c r="B4" s="20" t="n">
        <v>117</v>
      </c>
      <c r="C4" s="20" t="n">
        <v>0</v>
      </c>
      <c r="D4" s="21">
        <f>IF(B4&gt;0, C4/B4, 0)</f>
        <v/>
      </c>
      <c r="E4" s="21" t="n">
        <v>1</v>
      </c>
      <c r="F4" s="22" t="n">
        <v>0</v>
      </c>
      <c r="G4" s="21" t="inlineStr">
        <is>
          <t>—</t>
        </is>
      </c>
    </row>
    <row r="5" ht="20" customHeight="1">
      <c r="A5" s="5" t="inlineStr">
        <is>
          <t>May</t>
        </is>
      </c>
      <c r="B5" s="20" t="n">
        <v>117</v>
      </c>
      <c r="C5" s="20" t="n">
        <v>0</v>
      </c>
      <c r="D5" s="21">
        <f>IF(B5&gt;0, C5/B5, 0)</f>
        <v/>
      </c>
      <c r="E5" s="21" t="n">
        <v>1</v>
      </c>
      <c r="F5" s="22" t="n">
        <v>0</v>
      </c>
      <c r="G5" s="21">
        <f>IF(C4&gt;0, (C5-C4)/C4, 0)</f>
        <v/>
      </c>
    </row>
    <row r="6" ht="20" customHeight="1">
      <c r="A6" s="5" t="inlineStr">
        <is>
          <t>June</t>
        </is>
      </c>
      <c r="B6" s="20" t="n">
        <v>117</v>
      </c>
      <c r="C6" s="20" t="n">
        <v>0</v>
      </c>
      <c r="D6" s="21">
        <f>IF(B6&gt;0, C6/B6, 0)</f>
        <v/>
      </c>
      <c r="E6" s="21" t="n">
        <v>1</v>
      </c>
      <c r="F6" s="22" t="n">
        <v>0</v>
      </c>
      <c r="G6" s="21">
        <f>IF(C5&gt;0, (C6-C5)/C5, 0)</f>
        <v/>
      </c>
    </row>
    <row r="7" ht="20" customHeight="1">
      <c r="A7" s="5" t="inlineStr">
        <is>
          <t>July</t>
        </is>
      </c>
      <c r="B7" s="20" t="n">
        <v>117</v>
      </c>
      <c r="C7" s="20" t="n">
        <v>0</v>
      </c>
      <c r="D7" s="21">
        <f>IF(B7&gt;0, C7/B7, 0)</f>
        <v/>
      </c>
      <c r="E7" s="21" t="n">
        <v>1</v>
      </c>
      <c r="F7" s="22" t="n">
        <v>0</v>
      </c>
      <c r="G7" s="21">
        <f>IF(C6&gt;0, (C7-C6)/C6, 0)</f>
        <v/>
      </c>
    </row>
    <row r="8" ht="20" customHeight="1">
      <c r="A8" s="5" t="inlineStr">
        <is>
          <t>August</t>
        </is>
      </c>
      <c r="B8" s="20" t="n">
        <v>117</v>
      </c>
      <c r="C8" s="20" t="n">
        <v>0</v>
      </c>
      <c r="D8" s="21">
        <f>IF(B8&gt;0, C8/B8, 0)</f>
        <v/>
      </c>
      <c r="E8" s="21" t="n">
        <v>1</v>
      </c>
      <c r="F8" s="22" t="n">
        <v>0</v>
      </c>
      <c r="G8" s="21">
        <f>IF(C7&gt;0, (C8-C7)/C7, 0)</f>
        <v/>
      </c>
    </row>
    <row r="9" ht="20" customHeight="1">
      <c r="A9" s="5" t="inlineStr">
        <is>
          <t>September</t>
        </is>
      </c>
      <c r="B9" s="20" t="n">
        <v>117</v>
      </c>
      <c r="C9" s="20" t="n">
        <v>0</v>
      </c>
      <c r="D9" s="21">
        <f>IF(B9&gt;0, C9/B9, 0)</f>
        <v/>
      </c>
      <c r="E9" s="21" t="n">
        <v>1</v>
      </c>
      <c r="F9" s="22" t="n">
        <v>0</v>
      </c>
      <c r="G9" s="21">
        <f>IF(C8&gt;0, (C9-C8)/C8, 0)</f>
        <v/>
      </c>
    </row>
    <row r="10" ht="20" customHeight="1">
      <c r="A10" s="5" t="inlineStr">
        <is>
          <t>October</t>
        </is>
      </c>
      <c r="B10" s="20" t="n">
        <v>117</v>
      </c>
      <c r="C10" s="20" t="n">
        <v>0</v>
      </c>
      <c r="D10" s="21">
        <f>IF(B10&gt;0, C10/B10, 0)</f>
        <v/>
      </c>
      <c r="E10" s="21" t="n">
        <v>1</v>
      </c>
      <c r="F10" s="22" t="n">
        <v>0</v>
      </c>
      <c r="G10" s="21">
        <f>IF(C9&gt;0, (C10-C9)/C9, 0)</f>
        <v/>
      </c>
    </row>
    <row r="11" ht="20" customHeight="1">
      <c r="A11" s="5" t="inlineStr">
        <is>
          <t>November</t>
        </is>
      </c>
      <c r="B11" s="20" t="n">
        <v>117</v>
      </c>
      <c r="C11" s="20" t="n">
        <v>0</v>
      </c>
      <c r="D11" s="21">
        <f>IF(B11&gt;0, C11/B11, 0)</f>
        <v/>
      </c>
      <c r="E11" s="21" t="n">
        <v>1</v>
      </c>
      <c r="F11" s="22" t="n">
        <v>0</v>
      </c>
      <c r="G11" s="21">
        <f>IF(C10&gt;0, (C11-C10)/C10, 0)</f>
        <v/>
      </c>
    </row>
    <row r="12" ht="20" customHeight="1">
      <c r="A12" s="5" t="inlineStr">
        <is>
          <t>December</t>
        </is>
      </c>
      <c r="B12" s="20" t="n">
        <v>117</v>
      </c>
      <c r="C12" s="20" t="n">
        <v>0</v>
      </c>
      <c r="D12" s="21">
        <f>IF(B12&gt;0, C12/B12, 0)</f>
        <v/>
      </c>
      <c r="E12" s="21" t="n">
        <v>1</v>
      </c>
      <c r="F12" s="22" t="n">
        <v>0</v>
      </c>
      <c r="G12" s="21">
        <f>IF(C11&gt;0, (C12-C11)/C11, 0)</f>
        <v/>
      </c>
    </row>
    <row r="13" ht="20" customHeight="1">
      <c r="A13" s="5" t="inlineStr">
        <is>
          <t>January</t>
        </is>
      </c>
      <c r="B13" s="20" t="n">
        <v>117</v>
      </c>
      <c r="C13" s="20" t="n">
        <v>0</v>
      </c>
      <c r="D13" s="21">
        <f>IF(B13&gt;0, C13/B13, 0)</f>
        <v/>
      </c>
      <c r="E13" s="21" t="n">
        <v>1</v>
      </c>
      <c r="F13" s="22" t="n">
        <v>0</v>
      </c>
      <c r="G13" s="21">
        <f>IF(C12&gt;0, (C13-C12)/C12, 0)</f>
        <v/>
      </c>
    </row>
    <row r="14" ht="20" customHeight="1">
      <c r="A14" s="5" t="inlineStr">
        <is>
          <t>February</t>
        </is>
      </c>
      <c r="B14" s="20" t="n">
        <v>117</v>
      </c>
      <c r="C14" s="20" t="n">
        <v>0</v>
      </c>
      <c r="D14" s="21">
        <f>IF(B14&gt;0, C14/B14, 0)</f>
        <v/>
      </c>
      <c r="E14" s="21" t="n">
        <v>1</v>
      </c>
      <c r="F14" s="22" t="n">
        <v>0</v>
      </c>
      <c r="G14" s="21">
        <f>IF(C13&gt;0, (C14-C13)/C13, 0)</f>
        <v/>
      </c>
    </row>
    <row r="15" ht="20" customHeight="1">
      <c r="A15" s="5" t="inlineStr">
        <is>
          <t>March</t>
        </is>
      </c>
      <c r="B15" s="20" t="n">
        <v>117</v>
      </c>
      <c r="C15" s="20" t="n">
        <v>0</v>
      </c>
      <c r="D15" s="21">
        <f>IF(B15&gt;0, C15/B15, 0)</f>
        <v/>
      </c>
      <c r="E15" s="21" t="n">
        <v>1</v>
      </c>
      <c r="F15" s="22" t="n">
        <v>0</v>
      </c>
      <c r="G15" s="21">
        <f>IF(C14&gt;0, (C15-C14)/C14, 0)</f>
        <v/>
      </c>
    </row>
    <row r="16" ht="22" customHeight="1">
      <c r="A16" s="8" t="inlineStr">
        <is>
          <t>Total</t>
        </is>
      </c>
      <c r="B16" s="10">
        <f>SUM(B4:B15)</f>
        <v/>
      </c>
      <c r="C16" s="10">
        <f>SUM(C4:C15)</f>
        <v/>
      </c>
      <c r="D16" s="13">
        <f>IF(B16&gt;0, C16/B16, 0)</f>
        <v/>
      </c>
      <c r="E16" s="13">
        <f>AVERAGE(E4:E15)</f>
        <v/>
      </c>
      <c r="F16" s="23">
        <f>SUM(F4:F15)</f>
        <v/>
      </c>
      <c r="G16" s="8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0" customWidth="1" min="9" max="9"/>
    <col width="16" customWidth="1" min="10" max="10"/>
  </cols>
  <sheetData>
    <row r="1" ht="30" customHeight="1">
      <c r="A1" s="1" t="inlineStr">
        <is>
          <t>Training Session Attendance Summary</t>
        </is>
      </c>
    </row>
    <row r="3" ht="24" customHeight="1">
      <c r="A3" s="3" t="inlineStr">
        <is>
          <t>Training Name</t>
        </is>
      </c>
      <c r="B3" s="3" t="inlineStr">
        <is>
          <t>Department</t>
        </is>
      </c>
      <c r="C3" s="3" t="inlineStr">
        <is>
          <t>Training Date</t>
        </is>
      </c>
      <c r="D3" s="3" t="inlineStr">
        <is>
          <t>Enrolled Count</t>
        </is>
      </c>
      <c r="E3" s="3" t="inlineStr">
        <is>
          <t>Present Count</t>
        </is>
      </c>
      <c r="F3" s="3" t="inlineStr">
        <is>
          <t>Absent Count</t>
        </is>
      </c>
      <c r="G3" s="3" t="inlineStr">
        <is>
          <t>Late Count</t>
        </is>
      </c>
      <c r="H3" s="3" t="inlineStr">
        <is>
          <t>Attendance %</t>
        </is>
      </c>
      <c r="I3" s="3" t="inlineStr">
        <is>
          <t>Trainer</t>
        </is>
      </c>
      <c r="J3" s="3" t="inlineStr">
        <is>
          <t>Duration (Hours)</t>
        </is>
      </c>
    </row>
    <row r="4" ht="22" customHeight="1">
      <c r="A4" s="8" t="inlineStr">
        <is>
          <t>Total / Average</t>
        </is>
      </c>
      <c r="B4" s="8" t="inlineStr"/>
      <c r="C4" s="8" t="inlineStr"/>
      <c r="D4" s="23">
        <f>SUM(D4:D3)</f>
        <v/>
      </c>
      <c r="E4" s="23">
        <f>SUM(E4:E3)</f>
        <v/>
      </c>
      <c r="F4" s="23">
        <f>SUM(F4:F3)</f>
        <v/>
      </c>
      <c r="G4" s="23">
        <f>SUM(G4:G3)</f>
        <v/>
      </c>
      <c r="H4" s="13">
        <f>IF(D4&gt;0, (E4+G4)/D4, 1.0)</f>
        <v/>
      </c>
      <c r="I4" s="8" t="inlineStr"/>
      <c r="J4" s="10">
        <f>SUM(J4:J3)</f>
        <v/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16" customWidth="1" min="9" max="9"/>
    <col width="14" customWidth="1" min="10" max="10"/>
    <col width="18" customWidth="1" min="11" max="11"/>
    <col width="4" customWidth="1" min="12" max="12"/>
  </cols>
  <sheetData>
    <row r="1" ht="36" customHeight="1">
      <c r="A1" s="24" t="inlineStr">
        <is>
          <t>ORGANIZATION LEARNING &amp; KPI ANALYTICS DASHBOARD</t>
        </is>
      </c>
    </row>
    <row r="2" ht="24" customHeight="1">
      <c r="A2" s="25" t="inlineStr">
        <is>
          <t>Executive Overview &amp; Department Contribution Analysis</t>
        </is>
      </c>
    </row>
    <row r="4" ht="24" customHeight="1">
      <c r="A4" s="26" t="inlineStr">
        <is>
          <t>Interactive Filters (Select values to dynamically update the dashboard)</t>
        </is>
      </c>
    </row>
    <row r="5" ht="20" customHeight="1">
      <c r="B5" s="27" t="inlineStr">
        <is>
          <t>Financial Year</t>
        </is>
      </c>
      <c r="C5" s="28" t="n"/>
      <c r="D5" s="27" t="inlineStr">
        <is>
          <t>Quarter</t>
        </is>
      </c>
      <c r="E5" s="27" t="inlineStr">
        <is>
          <t>Month</t>
        </is>
      </c>
      <c r="F5" s="28" t="n"/>
      <c r="G5" s="27" t="inlineStr">
        <is>
          <t>Department</t>
        </is>
      </c>
      <c r="H5" s="28" t="n"/>
      <c r="I5" s="28" t="n"/>
      <c r="J5" s="27" t="inlineStr">
        <is>
          <t>Training Category</t>
        </is>
      </c>
      <c r="K5" s="28" t="n"/>
      <c r="L5" s="28" t="n"/>
    </row>
    <row r="6" ht="24" customHeight="1">
      <c r="B6" s="29" t="inlineStr">
        <is>
          <t>2025-2026</t>
        </is>
      </c>
      <c r="C6" s="28" t="n"/>
      <c r="D6" s="29" t="inlineStr">
        <is>
          <t>All</t>
        </is>
      </c>
      <c r="E6" s="29" t="inlineStr">
        <is>
          <t>All</t>
        </is>
      </c>
      <c r="F6" s="28" t="n"/>
      <c r="G6" s="29" t="inlineStr">
        <is>
          <t>All</t>
        </is>
      </c>
      <c r="H6" s="28" t="n"/>
      <c r="I6" s="28" t="n"/>
      <c r="J6" s="29" t="inlineStr">
        <is>
          <t>All</t>
        </is>
      </c>
      <c r="K6" s="28" t="n"/>
      <c r="L6" s="28" t="n"/>
    </row>
    <row r="10">
      <c r="A10" s="30" t="inlineStr">
        <is>
          <t>TOTAL EMPLOYEES</t>
        </is>
      </c>
      <c r="B10" s="31" t="n"/>
      <c r="C10" s="30" t="inlineStr">
        <is>
          <t>TOTAL TARGET HOURS</t>
        </is>
      </c>
      <c r="D10" s="31" t="n"/>
      <c r="E10" s="30" t="inlineStr">
        <is>
          <t>TOTAL ACTUAL HOURS</t>
        </is>
      </c>
      <c r="F10" s="31" t="n"/>
      <c r="G10" s="30" t="inlineStr">
        <is>
          <t>TOTAL REMAINING HOURS</t>
        </is>
      </c>
      <c r="H10" s="31" t="n"/>
      <c r="I10" s="30" t="inlineStr">
        <is>
          <t>OVERALL ACHIEVEMENT %</t>
        </is>
      </c>
      <c r="J10" s="31" t="n"/>
      <c r="K10" s="31" t="n"/>
      <c r="L10" s="31" t="n"/>
    </row>
    <row r="11">
      <c r="A11" s="32">
        <f>COUNTIFS(Employee_KPI_Summary!$F$6:$F$93, "&gt;0")</f>
        <v/>
      </c>
      <c r="B11" s="31" t="n"/>
      <c r="C11" s="33">
        <f>SUM(Employee_KPI_Summary!$F$6:$F$93)</f>
        <v/>
      </c>
      <c r="D11" s="31" t="n"/>
      <c r="E11" s="33">
        <f>SUM(Employee_KPI_Summary!$G$6:$G$93)</f>
        <v/>
      </c>
      <c r="F11" s="31" t="n"/>
      <c r="G11" s="33">
        <f>SUM(Employee_KPI_Summary!$H$6:$H$93)</f>
        <v/>
      </c>
      <c r="H11" s="31" t="n"/>
      <c r="I11" s="34">
        <f>IF(C11&gt;0, E11/C11, 0)</f>
        <v/>
      </c>
      <c r="J11" s="31" t="n"/>
      <c r="K11" s="31" t="n"/>
      <c r="L11" s="31" t="n"/>
    </row>
    <row r="12">
      <c r="A12" s="30" t="inlineStr">
        <is>
          <t>LEARNING COMPLIANCE %</t>
        </is>
      </c>
      <c r="B12" s="31" t="n"/>
      <c r="C12" s="30" t="inlineStr">
        <is>
          <t>TRAININGS CONDUCTED</t>
        </is>
      </c>
      <c r="D12" s="31" t="n"/>
      <c r="E12" s="30" t="inlineStr">
        <is>
          <t>TOTAL ATTENDANCE %</t>
        </is>
      </c>
      <c r="F12" s="31" t="n"/>
      <c r="G12" s="30" t="inlineStr">
        <is>
          <t>TOP PERFORMING DEPT</t>
        </is>
      </c>
      <c r="H12" s="31" t="n"/>
      <c r="I12" s="30" t="inlineStr">
        <is>
          <t>LOWEST PERFORMING DEPT</t>
        </is>
      </c>
      <c r="J12" s="31" t="n"/>
      <c r="K12" s="31" t="n"/>
      <c r="L12" s="31" t="n"/>
    </row>
    <row r="13">
      <c r="A13" s="34">
        <f>IF(COUNTIFS(Employee_KPI_Summary!$F$6:$F$93, "&gt;0")&gt;0, COUNTIFS(Employee_KPI_Summary!$F$6:$F$93, "&gt;0", Employee_KPI_Summary!$I$6:$I$93, "&gt;=1.0")/COUNTIFS(Employee_KPI_Summary!$F$6:$F$93, "&gt;0"), 1.0)</f>
        <v/>
      </c>
      <c r="B13" s="31" t="n"/>
      <c r="C13" s="32">
        <f>SUM(Raw_Attendance_Data!$P$2:$P$2)</f>
        <v/>
      </c>
      <c r="D13" s="31" t="n"/>
      <c r="E13" s="34">
        <f>IF(SUM(Employee_KPI_Summary!$K$6:$K$93)&gt;0, SUM(Employee_KPI_Summary!$J$6:$J$93)/SUM(Employee_KPI_Summary!$K$6:$K$93), 1.0)</f>
        <v/>
      </c>
      <c r="F13" s="31" t="n"/>
      <c r="G13" s="35">
        <f>INDEX(B17:B33, MATCH(MAX(G17:G33), G17:G33, 0))</f>
        <v/>
      </c>
      <c r="H13" s="31" t="n"/>
      <c r="I13" s="35">
        <f>INDEX(B17:B33, MATCH(MIN(K17:K33), K17:K33, 0))</f>
        <v/>
      </c>
      <c r="J13" s="31" t="n"/>
      <c r="K13" s="31" t="n"/>
      <c r="L13" s="31" t="n"/>
    </row>
    <row r="15" ht="24" customHeight="1">
      <c r="A15" s="36" t="inlineStr">
        <is>
          <t>DEPARTMENT CONTRIBUTION &amp; KPI SUMMARY</t>
        </is>
      </c>
    </row>
    <row r="16" ht="20" customHeight="1">
      <c r="A16" s="37" t="inlineStr">
        <is>
          <t>S.No</t>
        </is>
      </c>
      <c r="B16" s="37" t="inlineStr">
        <is>
          <t>Department</t>
        </is>
      </c>
      <c r="C16" s="37" t="inlineStr">
        <is>
          <t>Employees</t>
        </is>
      </c>
      <c r="D16" s="37" t="inlineStr">
        <is>
          <t>Target Hours</t>
        </is>
      </c>
      <c r="E16" s="37" t="inlineStr">
        <is>
          <t>Actual Hours</t>
        </is>
      </c>
      <c r="F16" s="37" t="inlineStr">
        <is>
          <t>Remaining Hours</t>
        </is>
      </c>
      <c r="G16" s="37" t="inlineStr">
        <is>
          <t>Achievement %</t>
        </is>
      </c>
      <c r="H16" s="37" t="inlineStr">
        <is>
          <t>Attendance %</t>
        </is>
      </c>
      <c r="I16" s="37" t="inlineStr">
        <is>
          <t>KPI Status</t>
        </is>
      </c>
      <c r="J16" s="37" t="inlineStr">
        <is>
          <t>Rank Score</t>
        </is>
      </c>
      <c r="K16" s="37" t="inlineStr">
        <is>
          <t>Filtered Achievement</t>
        </is>
      </c>
    </row>
    <row r="17" ht="20" customHeight="1">
      <c r="A17" s="38">
        <f>ROW() - 16</f>
        <v/>
      </c>
      <c r="B17" s="39" t="inlineStr">
        <is>
          <t>Accounts</t>
        </is>
      </c>
      <c r="C17" s="40">
        <f>COUNTIFS(Employee_KPI_Summary!$D$6:$D$93, B17, Employee_KPI_Summary!$F$6:$F$93, "&gt;0")</f>
        <v/>
      </c>
      <c r="D17" s="41">
        <f>SUMIFS(Employee_KPI_Summary!$F$6:$F$93, Employee_KPI_Summary!$D$6:$D$93, B17)</f>
        <v/>
      </c>
      <c r="E17" s="41">
        <f>SUMIFS(Employee_KPI_Summary!$G$6:$G$93, Employee_KPI_Summary!$D$6:$D$93, B17)</f>
        <v/>
      </c>
      <c r="F17" s="41">
        <f>SUMIFS(Employee_KPI_Summary!$H$6:$H$93, Employee_KPI_Summary!$D$6:$D$93, B17)</f>
        <v/>
      </c>
      <c r="G17" s="42">
        <f>IF(D17&gt;0, E17/D17, 0)</f>
        <v/>
      </c>
      <c r="H17" s="42">
        <f>IF(SUMIFS(Employee_KPI_Summary!$K$6:$K$93, Employee_KPI_Summary!$D$6:$D$93, B17)&gt;0, SUMIFS(Employee_KPI_Summary!$J$6:$J$93, Employee_KPI_Summary!$D$6:$D$93, B17)/SUMIFS(Employee_KPI_Summary!$K$6:$K$93, Employee_KPI_Summary!$D$6:$D$93, B17), 1.0)</f>
        <v/>
      </c>
      <c r="I17" s="43">
        <f>IF(G17&gt;=1.0, "Achieved", IF(G17&gt;=0.75, "Good", IF(G17&gt;=0.5, "Moderate", IF(G17&gt;=0.25, "Low", "Critical"))))</f>
        <v/>
      </c>
      <c r="J17" s="40">
        <f>G17+(1000-ROW())/1000000</f>
        <v/>
      </c>
      <c r="K17" s="40">
        <f>IF(C17&gt;0, G17+ROW()/1000000, 9.99)</f>
        <v/>
      </c>
    </row>
    <row r="18" ht="20" customHeight="1">
      <c r="A18" s="38">
        <f>ROW() - 16</f>
        <v/>
      </c>
      <c r="B18" s="39" t="inlineStr">
        <is>
          <t>Casting</t>
        </is>
      </c>
      <c r="C18" s="40">
        <f>COUNTIFS(Employee_KPI_Summary!$D$6:$D$93, B18, Employee_KPI_Summary!$F$6:$F$93, "&gt;0")</f>
        <v/>
      </c>
      <c r="D18" s="41">
        <f>SUMIFS(Employee_KPI_Summary!$F$6:$F$93, Employee_KPI_Summary!$D$6:$D$93, B18)</f>
        <v/>
      </c>
      <c r="E18" s="41">
        <f>SUMIFS(Employee_KPI_Summary!$G$6:$G$93, Employee_KPI_Summary!$D$6:$D$93, B18)</f>
        <v/>
      </c>
      <c r="F18" s="41">
        <f>SUMIFS(Employee_KPI_Summary!$H$6:$H$93, Employee_KPI_Summary!$D$6:$D$93, B18)</f>
        <v/>
      </c>
      <c r="G18" s="42">
        <f>IF(D18&gt;0, E18/D18, 0)</f>
        <v/>
      </c>
      <c r="H18" s="42">
        <f>IF(SUMIFS(Employee_KPI_Summary!$K$6:$K$93, Employee_KPI_Summary!$D$6:$D$93, B18)&gt;0, SUMIFS(Employee_KPI_Summary!$J$6:$J$93, Employee_KPI_Summary!$D$6:$D$93, B18)/SUMIFS(Employee_KPI_Summary!$K$6:$K$93, Employee_KPI_Summary!$D$6:$D$93, B18), 1.0)</f>
        <v/>
      </c>
      <c r="I18" s="43">
        <f>IF(G18&gt;=1.0, "Achieved", IF(G18&gt;=0.75, "Good", IF(G18&gt;=0.5, "Moderate", IF(G18&gt;=0.25, "Low", "Critical"))))</f>
        <v/>
      </c>
      <c r="J18" s="40">
        <f>G18+(1000-ROW())/1000000</f>
        <v/>
      </c>
      <c r="K18" s="40">
        <f>IF(C18&gt;0, G18+ROW()/1000000, 9.99)</f>
        <v/>
      </c>
    </row>
    <row r="19" ht="20" customHeight="1">
      <c r="A19" s="38">
        <f>ROW() - 16</f>
        <v/>
      </c>
      <c r="B19" s="39" t="inlineStr">
        <is>
          <t>Commercial</t>
        </is>
      </c>
      <c r="C19" s="40">
        <f>COUNTIFS(Employee_KPI_Summary!$D$6:$D$93, B19, Employee_KPI_Summary!$F$6:$F$93, "&gt;0")</f>
        <v/>
      </c>
      <c r="D19" s="41">
        <f>SUMIFS(Employee_KPI_Summary!$F$6:$F$93, Employee_KPI_Summary!$D$6:$D$93, B19)</f>
        <v/>
      </c>
      <c r="E19" s="41">
        <f>SUMIFS(Employee_KPI_Summary!$G$6:$G$93, Employee_KPI_Summary!$D$6:$D$93, B19)</f>
        <v/>
      </c>
      <c r="F19" s="41">
        <f>SUMIFS(Employee_KPI_Summary!$H$6:$H$93, Employee_KPI_Summary!$D$6:$D$93, B19)</f>
        <v/>
      </c>
      <c r="G19" s="42">
        <f>IF(D19&gt;0, E19/D19, 0)</f>
        <v/>
      </c>
      <c r="H19" s="42">
        <f>IF(SUMIFS(Employee_KPI_Summary!$K$6:$K$93, Employee_KPI_Summary!$D$6:$D$93, B19)&gt;0, SUMIFS(Employee_KPI_Summary!$J$6:$J$93, Employee_KPI_Summary!$D$6:$D$93, B19)/SUMIFS(Employee_KPI_Summary!$K$6:$K$93, Employee_KPI_Summary!$D$6:$D$93, B19), 1.0)</f>
        <v/>
      </c>
      <c r="I19" s="43">
        <f>IF(G19&gt;=1.0, "Achieved", IF(G19&gt;=0.75, "Good", IF(G19&gt;=0.5, "Moderate", IF(G19&gt;=0.25, "Low", "Critical"))))</f>
        <v/>
      </c>
      <c r="J19" s="40">
        <f>G19+(1000-ROW())/1000000</f>
        <v/>
      </c>
      <c r="K19" s="40">
        <f>IF(C19&gt;0, G19+ROW()/1000000, 9.99)</f>
        <v/>
      </c>
    </row>
    <row r="20" ht="20" customHeight="1">
      <c r="A20" s="38">
        <f>ROW() - 16</f>
        <v/>
      </c>
      <c r="B20" s="39" t="inlineStr">
        <is>
          <t>CRM</t>
        </is>
      </c>
      <c r="C20" s="40">
        <f>COUNTIFS(Employee_KPI_Summary!$D$6:$D$93, B20, Employee_KPI_Summary!$F$6:$F$93, "&gt;0")</f>
        <v/>
      </c>
      <c r="D20" s="41">
        <f>SUMIFS(Employee_KPI_Summary!$F$6:$F$93, Employee_KPI_Summary!$D$6:$D$93, B20)</f>
        <v/>
      </c>
      <c r="E20" s="41">
        <f>SUMIFS(Employee_KPI_Summary!$G$6:$G$93, Employee_KPI_Summary!$D$6:$D$93, B20)</f>
        <v/>
      </c>
      <c r="F20" s="41">
        <f>SUMIFS(Employee_KPI_Summary!$H$6:$H$93, Employee_KPI_Summary!$D$6:$D$93, B20)</f>
        <v/>
      </c>
      <c r="G20" s="42">
        <f>IF(D20&gt;0, E20/D20, 0)</f>
        <v/>
      </c>
      <c r="H20" s="42">
        <f>IF(SUMIFS(Employee_KPI_Summary!$K$6:$K$93, Employee_KPI_Summary!$D$6:$D$93, B20)&gt;0, SUMIFS(Employee_KPI_Summary!$J$6:$J$93, Employee_KPI_Summary!$D$6:$D$93, B20)/SUMIFS(Employee_KPI_Summary!$K$6:$K$93, Employee_KPI_Summary!$D$6:$D$93, B20), 1.0)</f>
        <v/>
      </c>
      <c r="I20" s="43">
        <f>IF(G20&gt;=1.0, "Achieved", IF(G20&gt;=0.75, "Good", IF(G20&gt;=0.5, "Moderate", IF(G20&gt;=0.25, "Low", "Critical"))))</f>
        <v/>
      </c>
      <c r="J20" s="40">
        <f>G20+(1000-ROW())/1000000</f>
        <v/>
      </c>
      <c r="K20" s="40">
        <f>IF(C20&gt;0, G20+ROW()/1000000, 9.99)</f>
        <v/>
      </c>
    </row>
    <row r="21" ht="20" customHeight="1">
      <c r="A21" s="38">
        <f>ROW() - 16</f>
        <v/>
      </c>
      <c r="B21" s="39" t="inlineStr">
        <is>
          <t>Driver</t>
        </is>
      </c>
      <c r="C21" s="40">
        <f>COUNTIFS(Employee_KPI_Summary!$D$6:$D$93, B21, Employee_KPI_Summary!$F$6:$F$93, "&gt;0")</f>
        <v/>
      </c>
      <c r="D21" s="41">
        <f>SUMIFS(Employee_KPI_Summary!$F$6:$F$93, Employee_KPI_Summary!$D$6:$D$93, B21)</f>
        <v/>
      </c>
      <c r="E21" s="41">
        <f>SUMIFS(Employee_KPI_Summary!$G$6:$G$93, Employee_KPI_Summary!$D$6:$D$93, B21)</f>
        <v/>
      </c>
      <c r="F21" s="41">
        <f>SUMIFS(Employee_KPI_Summary!$H$6:$H$93, Employee_KPI_Summary!$D$6:$D$93, B21)</f>
        <v/>
      </c>
      <c r="G21" s="42">
        <f>IF(D21&gt;0, E21/D21, 0)</f>
        <v/>
      </c>
      <c r="H21" s="42">
        <f>IF(SUMIFS(Employee_KPI_Summary!$K$6:$K$93, Employee_KPI_Summary!$D$6:$D$93, B21)&gt;0, SUMIFS(Employee_KPI_Summary!$J$6:$J$93, Employee_KPI_Summary!$D$6:$D$93, B21)/SUMIFS(Employee_KPI_Summary!$K$6:$K$93, Employee_KPI_Summary!$D$6:$D$93, B21), 1.0)</f>
        <v/>
      </c>
      <c r="I21" s="43">
        <f>IF(G21&gt;=1.0, "Achieved", IF(G21&gt;=0.75, "Good", IF(G21&gt;=0.5, "Moderate", IF(G21&gt;=0.25, "Low", "Critical"))))</f>
        <v/>
      </c>
      <c r="J21" s="40">
        <f>G21+(1000-ROW())/1000000</f>
        <v/>
      </c>
      <c r="K21" s="40">
        <f>IF(C21&gt;0, G21+ROW()/1000000, 9.99)</f>
        <v/>
      </c>
    </row>
    <row r="22" ht="20" customHeight="1">
      <c r="A22" s="38">
        <f>ROW() - 16</f>
        <v/>
      </c>
      <c r="B22" s="39" t="inlineStr">
        <is>
          <t>HR</t>
        </is>
      </c>
      <c r="C22" s="40">
        <f>COUNTIFS(Employee_KPI_Summary!$D$6:$D$93, B22, Employee_KPI_Summary!$F$6:$F$93, "&gt;0")</f>
        <v/>
      </c>
      <c r="D22" s="41">
        <f>SUMIFS(Employee_KPI_Summary!$F$6:$F$93, Employee_KPI_Summary!$D$6:$D$93, B22)</f>
        <v/>
      </c>
      <c r="E22" s="41">
        <f>SUMIFS(Employee_KPI_Summary!$G$6:$G$93, Employee_KPI_Summary!$D$6:$D$93, B22)</f>
        <v/>
      </c>
      <c r="F22" s="41">
        <f>SUMIFS(Employee_KPI_Summary!$H$6:$H$93, Employee_KPI_Summary!$D$6:$D$93, B22)</f>
        <v/>
      </c>
      <c r="G22" s="42">
        <f>IF(D22&gt;0, E22/D22, 0)</f>
        <v/>
      </c>
      <c r="H22" s="42">
        <f>IF(SUMIFS(Employee_KPI_Summary!$K$6:$K$93, Employee_KPI_Summary!$D$6:$D$93, B22)&gt;0, SUMIFS(Employee_KPI_Summary!$J$6:$J$93, Employee_KPI_Summary!$D$6:$D$93, B22)/SUMIFS(Employee_KPI_Summary!$K$6:$K$93, Employee_KPI_Summary!$D$6:$D$93, B22), 1.0)</f>
        <v/>
      </c>
      <c r="I22" s="43">
        <f>IF(G22&gt;=1.0, "Achieved", IF(G22&gt;=0.75, "Good", IF(G22&gt;=0.5, "Moderate", IF(G22&gt;=0.25, "Low", "Critical"))))</f>
        <v/>
      </c>
      <c r="J22" s="40">
        <f>G22+(1000-ROW())/1000000</f>
        <v/>
      </c>
      <c r="K22" s="40">
        <f>IF(C22&gt;0, G22+ROW()/1000000, 9.99)</f>
        <v/>
      </c>
    </row>
    <row r="23" ht="20" customHeight="1">
      <c r="A23" s="38">
        <f>ROW() - 16</f>
        <v/>
      </c>
      <c r="B23" s="39" t="inlineStr">
        <is>
          <t>IT Support</t>
        </is>
      </c>
      <c r="C23" s="40">
        <f>COUNTIFS(Employee_KPI_Summary!$D$6:$D$93, B23, Employee_KPI_Summary!$F$6:$F$93, "&gt;0")</f>
        <v/>
      </c>
      <c r="D23" s="41">
        <f>SUMIFS(Employee_KPI_Summary!$F$6:$F$93, Employee_KPI_Summary!$D$6:$D$93, B23)</f>
        <v/>
      </c>
      <c r="E23" s="41">
        <f>SUMIFS(Employee_KPI_Summary!$G$6:$G$93, Employee_KPI_Summary!$D$6:$D$93, B23)</f>
        <v/>
      </c>
      <c r="F23" s="41">
        <f>SUMIFS(Employee_KPI_Summary!$H$6:$H$93, Employee_KPI_Summary!$D$6:$D$93, B23)</f>
        <v/>
      </c>
      <c r="G23" s="42">
        <f>IF(D23&gt;0, E23/D23, 0)</f>
        <v/>
      </c>
      <c r="H23" s="42">
        <f>IF(SUMIFS(Employee_KPI_Summary!$K$6:$K$93, Employee_KPI_Summary!$D$6:$D$93, B23)&gt;0, SUMIFS(Employee_KPI_Summary!$J$6:$J$93, Employee_KPI_Summary!$D$6:$D$93, B23)/SUMIFS(Employee_KPI_Summary!$K$6:$K$93, Employee_KPI_Summary!$D$6:$D$93, B23), 1.0)</f>
        <v/>
      </c>
      <c r="I23" s="43">
        <f>IF(G23&gt;=1.0, "Achieved", IF(G23&gt;=0.75, "Good", IF(G23&gt;=0.5, "Moderate", IF(G23&gt;=0.25, "Low", "Critical"))))</f>
        <v/>
      </c>
      <c r="J23" s="40">
        <f>G23+(1000-ROW())/1000000</f>
        <v/>
      </c>
      <c r="K23" s="40">
        <f>IF(C23&gt;0, G23+ROW()/1000000, 9.99)</f>
        <v/>
      </c>
    </row>
    <row r="24" ht="20" customHeight="1">
      <c r="A24" s="38">
        <f>ROW() - 16</f>
        <v/>
      </c>
      <c r="B24" s="39" t="inlineStr">
        <is>
          <t>Maintenance</t>
        </is>
      </c>
      <c r="C24" s="40">
        <f>COUNTIFS(Employee_KPI_Summary!$D$6:$D$93, B24, Employee_KPI_Summary!$F$6:$F$93, "&gt;0")</f>
        <v/>
      </c>
      <c r="D24" s="41">
        <f>SUMIFS(Employee_KPI_Summary!$F$6:$F$93, Employee_KPI_Summary!$D$6:$D$93, B24)</f>
        <v/>
      </c>
      <c r="E24" s="41">
        <f>SUMIFS(Employee_KPI_Summary!$G$6:$G$93, Employee_KPI_Summary!$D$6:$D$93, B24)</f>
        <v/>
      </c>
      <c r="F24" s="41">
        <f>SUMIFS(Employee_KPI_Summary!$H$6:$H$93, Employee_KPI_Summary!$D$6:$D$93, B24)</f>
        <v/>
      </c>
      <c r="G24" s="42">
        <f>IF(D24&gt;0, E24/D24, 0)</f>
        <v/>
      </c>
      <c r="H24" s="42">
        <f>IF(SUMIFS(Employee_KPI_Summary!$K$6:$K$93, Employee_KPI_Summary!$D$6:$D$93, B24)&gt;0, SUMIFS(Employee_KPI_Summary!$J$6:$J$93, Employee_KPI_Summary!$D$6:$D$93, B24)/SUMIFS(Employee_KPI_Summary!$K$6:$K$93, Employee_KPI_Summary!$D$6:$D$93, B24), 1.0)</f>
        <v/>
      </c>
      <c r="I24" s="43">
        <f>IF(G24&gt;=1.0, "Achieved", IF(G24&gt;=0.75, "Good", IF(G24&gt;=0.5, "Moderate", IF(G24&gt;=0.25, "Low", "Critical"))))</f>
        <v/>
      </c>
      <c r="J24" s="40">
        <f>G24+(1000-ROW())/1000000</f>
        <v/>
      </c>
      <c r="K24" s="40">
        <f>IF(C24&gt;0, G24+ROW()/1000000, 9.99)</f>
        <v/>
      </c>
    </row>
    <row r="25" ht="20" customHeight="1">
      <c r="A25" s="38">
        <f>ROW() - 16</f>
        <v/>
      </c>
      <c r="B25" s="39" t="inlineStr">
        <is>
          <t>Management</t>
        </is>
      </c>
      <c r="C25" s="40">
        <f>COUNTIFS(Employee_KPI_Summary!$D$6:$D$93, B25, Employee_KPI_Summary!$F$6:$F$93, "&gt;0")</f>
        <v/>
      </c>
      <c r="D25" s="41">
        <f>SUMIFS(Employee_KPI_Summary!$F$6:$F$93, Employee_KPI_Summary!$D$6:$D$93, B25)</f>
        <v/>
      </c>
      <c r="E25" s="41">
        <f>SUMIFS(Employee_KPI_Summary!$G$6:$G$93, Employee_KPI_Summary!$D$6:$D$93, B25)</f>
        <v/>
      </c>
      <c r="F25" s="41">
        <f>SUMIFS(Employee_KPI_Summary!$H$6:$H$93, Employee_KPI_Summary!$D$6:$D$93, B25)</f>
        <v/>
      </c>
      <c r="G25" s="42">
        <f>IF(D25&gt;0, E25/D25, 0)</f>
        <v/>
      </c>
      <c r="H25" s="42">
        <f>IF(SUMIFS(Employee_KPI_Summary!$K$6:$K$93, Employee_KPI_Summary!$D$6:$D$93, B25)&gt;0, SUMIFS(Employee_KPI_Summary!$J$6:$J$93, Employee_KPI_Summary!$D$6:$D$93, B25)/SUMIFS(Employee_KPI_Summary!$K$6:$K$93, Employee_KPI_Summary!$D$6:$D$93, B25), 1.0)</f>
        <v/>
      </c>
      <c r="I25" s="43">
        <f>IF(G25&gt;=1.0, "Achieved", IF(G25&gt;=0.75, "Good", IF(G25&gt;=0.5, "Moderate", IF(G25&gt;=0.25, "Low", "Critical"))))</f>
        <v/>
      </c>
      <c r="J25" s="40">
        <f>G25+(1000-ROW())/1000000</f>
        <v/>
      </c>
      <c r="K25" s="40">
        <f>IF(C25&gt;0, G25+ROW()/1000000, 9.99)</f>
        <v/>
      </c>
    </row>
    <row r="26" ht="20" customHeight="1">
      <c r="A26" s="38">
        <f>ROW() - 16</f>
        <v/>
      </c>
      <c r="B26" s="39" t="inlineStr">
        <is>
          <t>Marketing</t>
        </is>
      </c>
      <c r="C26" s="40">
        <f>COUNTIFS(Employee_KPI_Summary!$D$6:$D$93, B26, Employee_KPI_Summary!$F$6:$F$93, "&gt;0")</f>
        <v/>
      </c>
      <c r="D26" s="41">
        <f>SUMIFS(Employee_KPI_Summary!$F$6:$F$93, Employee_KPI_Summary!$D$6:$D$93, B26)</f>
        <v/>
      </c>
      <c r="E26" s="41">
        <f>SUMIFS(Employee_KPI_Summary!$G$6:$G$93, Employee_KPI_Summary!$D$6:$D$93, B26)</f>
        <v/>
      </c>
      <c r="F26" s="41">
        <f>SUMIFS(Employee_KPI_Summary!$H$6:$H$93, Employee_KPI_Summary!$D$6:$D$93, B26)</f>
        <v/>
      </c>
      <c r="G26" s="42">
        <f>IF(D26&gt;0, E26/D26, 0)</f>
        <v/>
      </c>
      <c r="H26" s="42">
        <f>IF(SUMIFS(Employee_KPI_Summary!$K$6:$K$93, Employee_KPI_Summary!$D$6:$D$93, B26)&gt;0, SUMIFS(Employee_KPI_Summary!$J$6:$J$93, Employee_KPI_Summary!$D$6:$D$93, B26)/SUMIFS(Employee_KPI_Summary!$K$6:$K$93, Employee_KPI_Summary!$D$6:$D$93, B26), 1.0)</f>
        <v/>
      </c>
      <c r="I26" s="43">
        <f>IF(G26&gt;=1.0, "Achieved", IF(G26&gt;=0.75, "Good", IF(G26&gt;=0.5, "Moderate", IF(G26&gt;=0.25, "Low", "Critical"))))</f>
        <v/>
      </c>
      <c r="J26" s="40">
        <f>G26+(1000-ROW())/1000000</f>
        <v/>
      </c>
      <c r="K26" s="40">
        <f>IF(C26&gt;0, G26+ROW()/1000000, 9.99)</f>
        <v/>
      </c>
    </row>
    <row r="27" ht="20" customHeight="1">
      <c r="A27" s="38">
        <f>ROW() - 16</f>
        <v/>
      </c>
      <c r="B27" s="39" t="inlineStr">
        <is>
          <t>NPD</t>
        </is>
      </c>
      <c r="C27" s="40">
        <f>COUNTIFS(Employee_KPI_Summary!$D$6:$D$93, B27, Employee_KPI_Summary!$F$6:$F$93, "&gt;0")</f>
        <v/>
      </c>
      <c r="D27" s="41">
        <f>SUMIFS(Employee_KPI_Summary!$F$6:$F$93, Employee_KPI_Summary!$D$6:$D$93, B27)</f>
        <v/>
      </c>
      <c r="E27" s="41">
        <f>SUMIFS(Employee_KPI_Summary!$G$6:$G$93, Employee_KPI_Summary!$D$6:$D$93, B27)</f>
        <v/>
      </c>
      <c r="F27" s="41">
        <f>SUMIFS(Employee_KPI_Summary!$H$6:$H$93, Employee_KPI_Summary!$D$6:$D$93, B27)</f>
        <v/>
      </c>
      <c r="G27" s="42">
        <f>IF(D27&gt;0, E27/D27, 0)</f>
        <v/>
      </c>
      <c r="H27" s="42">
        <f>IF(SUMIFS(Employee_KPI_Summary!$K$6:$K$93, Employee_KPI_Summary!$D$6:$D$93, B27)&gt;0, SUMIFS(Employee_KPI_Summary!$J$6:$J$93, Employee_KPI_Summary!$D$6:$D$93, B27)/SUMIFS(Employee_KPI_Summary!$K$6:$K$93, Employee_KPI_Summary!$D$6:$D$93, B27), 1.0)</f>
        <v/>
      </c>
      <c r="I27" s="43">
        <f>IF(G27&gt;=1.0, "Achieved", IF(G27&gt;=0.75, "Good", IF(G27&gt;=0.5, "Moderate", IF(G27&gt;=0.25, "Low", "Critical"))))</f>
        <v/>
      </c>
      <c r="J27" s="40">
        <f>G27+(1000-ROW())/1000000</f>
        <v/>
      </c>
      <c r="K27" s="40">
        <f>IF(C27&gt;0, G27+ROW()/1000000, 9.99)</f>
        <v/>
      </c>
    </row>
    <row r="28" ht="20" customHeight="1">
      <c r="A28" s="38">
        <f>ROW() - 16</f>
        <v/>
      </c>
      <c r="B28" s="39" t="inlineStr">
        <is>
          <t>Operations</t>
        </is>
      </c>
      <c r="C28" s="40">
        <f>COUNTIFS(Employee_KPI_Summary!$D$6:$D$93, B28, Employee_KPI_Summary!$F$6:$F$93, "&gt;0")</f>
        <v/>
      </c>
      <c r="D28" s="41">
        <f>SUMIFS(Employee_KPI_Summary!$F$6:$F$93, Employee_KPI_Summary!$D$6:$D$93, B28)</f>
        <v/>
      </c>
      <c r="E28" s="41">
        <f>SUMIFS(Employee_KPI_Summary!$G$6:$G$93, Employee_KPI_Summary!$D$6:$D$93, B28)</f>
        <v/>
      </c>
      <c r="F28" s="41">
        <f>SUMIFS(Employee_KPI_Summary!$H$6:$H$93, Employee_KPI_Summary!$D$6:$D$93, B28)</f>
        <v/>
      </c>
      <c r="G28" s="42">
        <f>IF(D28&gt;0, E28/D28, 0)</f>
        <v/>
      </c>
      <c r="H28" s="42">
        <f>IF(SUMIFS(Employee_KPI_Summary!$K$6:$K$93, Employee_KPI_Summary!$D$6:$D$93, B28)&gt;0, SUMIFS(Employee_KPI_Summary!$J$6:$J$93, Employee_KPI_Summary!$D$6:$D$93, B28)/SUMIFS(Employee_KPI_Summary!$K$6:$K$93, Employee_KPI_Summary!$D$6:$D$93, B28), 1.0)</f>
        <v/>
      </c>
      <c r="I28" s="43">
        <f>IF(G28&gt;=1.0, "Achieved", IF(G28&gt;=0.75, "Good", IF(G28&gt;=0.5, "Moderate", IF(G28&gt;=0.25, "Low", "Critical"))))</f>
        <v/>
      </c>
      <c r="J28" s="40">
        <f>G28+(1000-ROW())/1000000</f>
        <v/>
      </c>
      <c r="K28" s="40">
        <f>IF(C28&gt;0, G28+ROW()/1000000, 9.99)</f>
        <v/>
      </c>
    </row>
    <row r="29" ht="20" customHeight="1">
      <c r="A29" s="38">
        <f>ROW() - 16</f>
        <v/>
      </c>
      <c r="B29" s="39" t="inlineStr">
        <is>
          <t>Purchase Castings</t>
        </is>
      </c>
      <c r="C29" s="40">
        <f>COUNTIFS(Employee_KPI_Summary!$D$6:$D$93, B29, Employee_KPI_Summary!$F$6:$F$93, "&gt;0")</f>
        <v/>
      </c>
      <c r="D29" s="41">
        <f>SUMIFS(Employee_KPI_Summary!$F$6:$F$93, Employee_KPI_Summary!$D$6:$D$93, B29)</f>
        <v/>
      </c>
      <c r="E29" s="41">
        <f>SUMIFS(Employee_KPI_Summary!$G$6:$G$93, Employee_KPI_Summary!$D$6:$D$93, B29)</f>
        <v/>
      </c>
      <c r="F29" s="41">
        <f>SUMIFS(Employee_KPI_Summary!$H$6:$H$93, Employee_KPI_Summary!$D$6:$D$93, B29)</f>
        <v/>
      </c>
      <c r="G29" s="42">
        <f>IF(D29&gt;0, E29/D29, 0)</f>
        <v/>
      </c>
      <c r="H29" s="42">
        <f>IF(SUMIFS(Employee_KPI_Summary!$K$6:$K$93, Employee_KPI_Summary!$D$6:$D$93, B29)&gt;0, SUMIFS(Employee_KPI_Summary!$J$6:$J$93, Employee_KPI_Summary!$D$6:$D$93, B29)/SUMIFS(Employee_KPI_Summary!$K$6:$K$93, Employee_KPI_Summary!$D$6:$D$93, B29), 1.0)</f>
        <v/>
      </c>
      <c r="I29" s="43">
        <f>IF(G29&gt;=1.0, "Achieved", IF(G29&gt;=0.75, "Good", IF(G29&gt;=0.5, "Moderate", IF(G29&gt;=0.25, "Low", "Critical"))))</f>
        <v/>
      </c>
      <c r="J29" s="40">
        <f>G29+(1000-ROW())/1000000</f>
        <v/>
      </c>
      <c r="K29" s="40">
        <f>IF(C29&gt;0, G29+ROW()/1000000, 9.99)</f>
        <v/>
      </c>
    </row>
    <row r="30" ht="20" customHeight="1">
      <c r="A30" s="38">
        <f>ROW() - 16</f>
        <v/>
      </c>
      <c r="B30" s="39" t="inlineStr">
        <is>
          <t>QA</t>
        </is>
      </c>
      <c r="C30" s="40">
        <f>COUNTIFS(Employee_KPI_Summary!$D$6:$D$93, B30, Employee_KPI_Summary!$F$6:$F$93, "&gt;0")</f>
        <v/>
      </c>
      <c r="D30" s="41">
        <f>SUMIFS(Employee_KPI_Summary!$F$6:$F$93, Employee_KPI_Summary!$D$6:$D$93, B30)</f>
        <v/>
      </c>
      <c r="E30" s="41">
        <f>SUMIFS(Employee_KPI_Summary!$G$6:$G$93, Employee_KPI_Summary!$D$6:$D$93, B30)</f>
        <v/>
      </c>
      <c r="F30" s="41">
        <f>SUMIFS(Employee_KPI_Summary!$H$6:$H$93, Employee_KPI_Summary!$D$6:$D$93, B30)</f>
        <v/>
      </c>
      <c r="G30" s="42">
        <f>IF(D30&gt;0, E30/D30, 0)</f>
        <v/>
      </c>
      <c r="H30" s="42">
        <f>IF(SUMIFS(Employee_KPI_Summary!$K$6:$K$93, Employee_KPI_Summary!$D$6:$D$93, B30)&gt;0, SUMIFS(Employee_KPI_Summary!$J$6:$J$93, Employee_KPI_Summary!$D$6:$D$93, B30)/SUMIFS(Employee_KPI_Summary!$K$6:$K$93, Employee_KPI_Summary!$D$6:$D$93, B30), 1.0)</f>
        <v/>
      </c>
      <c r="I30" s="43">
        <f>IF(G30&gt;=1.0, "Achieved", IF(G30&gt;=0.75, "Good", IF(G30&gt;=0.5, "Moderate", IF(G30&gt;=0.25, "Low", "Critical"))))</f>
        <v/>
      </c>
      <c r="J30" s="40">
        <f>G30+(1000-ROW())/1000000</f>
        <v/>
      </c>
      <c r="K30" s="40">
        <f>IF(C30&gt;0, G30+ROW()/1000000, 9.99)</f>
        <v/>
      </c>
    </row>
    <row r="31" ht="20" customHeight="1">
      <c r="A31" s="38">
        <f>ROW() - 16</f>
        <v/>
      </c>
      <c r="B31" s="39" t="inlineStr">
        <is>
          <t>RFQ</t>
        </is>
      </c>
      <c r="C31" s="40">
        <f>COUNTIFS(Employee_KPI_Summary!$D$6:$D$93, B31, Employee_KPI_Summary!$F$6:$F$93, "&gt;0")</f>
        <v/>
      </c>
      <c r="D31" s="41">
        <f>SUMIFS(Employee_KPI_Summary!$F$6:$F$93, Employee_KPI_Summary!$D$6:$D$93, B31)</f>
        <v/>
      </c>
      <c r="E31" s="41">
        <f>SUMIFS(Employee_KPI_Summary!$G$6:$G$93, Employee_KPI_Summary!$D$6:$D$93, B31)</f>
        <v/>
      </c>
      <c r="F31" s="41">
        <f>SUMIFS(Employee_KPI_Summary!$H$6:$H$93, Employee_KPI_Summary!$D$6:$D$93, B31)</f>
        <v/>
      </c>
      <c r="G31" s="42">
        <f>IF(D31&gt;0, E31/D31, 0)</f>
        <v/>
      </c>
      <c r="H31" s="42">
        <f>IF(SUMIFS(Employee_KPI_Summary!$K$6:$K$93, Employee_KPI_Summary!$D$6:$D$93, B31)&gt;0, SUMIFS(Employee_KPI_Summary!$J$6:$J$93, Employee_KPI_Summary!$D$6:$D$93, B31)/SUMIFS(Employee_KPI_Summary!$K$6:$K$93, Employee_KPI_Summary!$D$6:$D$93, B31), 1.0)</f>
        <v/>
      </c>
      <c r="I31" s="43">
        <f>IF(G31&gt;=1.0, "Achieved", IF(G31&gt;=0.75, "Good", IF(G31&gt;=0.5, "Moderate", IF(G31&gt;=0.25, "Low", "Critical"))))</f>
        <v/>
      </c>
      <c r="J31" s="40">
        <f>G31+(1000-ROW())/1000000</f>
        <v/>
      </c>
      <c r="K31" s="40">
        <f>IF(C31&gt;0, G31+ROW()/1000000, 9.99)</f>
        <v/>
      </c>
    </row>
    <row r="32" ht="20" customHeight="1">
      <c r="A32" s="38">
        <f>ROW() - 16</f>
        <v/>
      </c>
      <c r="B32" s="39" t="inlineStr">
        <is>
          <t>Sourcing</t>
        </is>
      </c>
      <c r="C32" s="40">
        <f>COUNTIFS(Employee_KPI_Summary!$D$6:$D$93, B32, Employee_KPI_Summary!$F$6:$F$93, "&gt;0")</f>
        <v/>
      </c>
      <c r="D32" s="41">
        <f>SUMIFS(Employee_KPI_Summary!$F$6:$F$93, Employee_KPI_Summary!$D$6:$D$93, B32)</f>
        <v/>
      </c>
      <c r="E32" s="41">
        <f>SUMIFS(Employee_KPI_Summary!$G$6:$G$93, Employee_KPI_Summary!$D$6:$D$93, B32)</f>
        <v/>
      </c>
      <c r="F32" s="41">
        <f>SUMIFS(Employee_KPI_Summary!$H$6:$H$93, Employee_KPI_Summary!$D$6:$D$93, B32)</f>
        <v/>
      </c>
      <c r="G32" s="42">
        <f>IF(D32&gt;0, E32/D32, 0)</f>
        <v/>
      </c>
      <c r="H32" s="42">
        <f>IF(SUMIFS(Employee_KPI_Summary!$K$6:$K$93, Employee_KPI_Summary!$D$6:$D$93, B32)&gt;0, SUMIFS(Employee_KPI_Summary!$J$6:$J$93, Employee_KPI_Summary!$D$6:$D$93, B32)/SUMIFS(Employee_KPI_Summary!$K$6:$K$93, Employee_KPI_Summary!$D$6:$D$93, B32), 1.0)</f>
        <v/>
      </c>
      <c r="I32" s="43">
        <f>IF(G32&gt;=1.0, "Achieved", IF(G32&gt;=0.75, "Good", IF(G32&gt;=0.5, "Moderate", IF(G32&gt;=0.25, "Low", "Critical"))))</f>
        <v/>
      </c>
      <c r="J32" s="40">
        <f>G32+(1000-ROW())/1000000</f>
        <v/>
      </c>
      <c r="K32" s="40">
        <f>IF(C32&gt;0, G32+ROW()/1000000, 9.99)</f>
        <v/>
      </c>
    </row>
    <row r="33" ht="20" customHeight="1">
      <c r="A33" s="38">
        <f>ROW() - 16</f>
        <v/>
      </c>
      <c r="B33" s="39" t="inlineStr">
        <is>
          <t>Stores</t>
        </is>
      </c>
      <c r="C33" s="40">
        <f>COUNTIFS(Employee_KPI_Summary!$D$6:$D$93, B33, Employee_KPI_Summary!$F$6:$F$93, "&gt;0")</f>
        <v/>
      </c>
      <c r="D33" s="41">
        <f>SUMIFS(Employee_KPI_Summary!$F$6:$F$93, Employee_KPI_Summary!$D$6:$D$93, B33)</f>
        <v/>
      </c>
      <c r="E33" s="41">
        <f>SUMIFS(Employee_KPI_Summary!$G$6:$G$93, Employee_KPI_Summary!$D$6:$D$93, B33)</f>
        <v/>
      </c>
      <c r="F33" s="41">
        <f>SUMIFS(Employee_KPI_Summary!$H$6:$H$93, Employee_KPI_Summary!$D$6:$D$93, B33)</f>
        <v/>
      </c>
      <c r="G33" s="42">
        <f>IF(D33&gt;0, E33/D33, 0)</f>
        <v/>
      </c>
      <c r="H33" s="42">
        <f>IF(SUMIFS(Employee_KPI_Summary!$K$6:$K$93, Employee_KPI_Summary!$D$6:$D$93, B33)&gt;0, SUMIFS(Employee_KPI_Summary!$J$6:$J$93, Employee_KPI_Summary!$D$6:$D$93, B33)/SUMIFS(Employee_KPI_Summary!$K$6:$K$93, Employee_KPI_Summary!$D$6:$D$93, B33), 1.0)</f>
        <v/>
      </c>
      <c r="I33" s="43">
        <f>IF(G33&gt;=1.0, "Achieved", IF(G33&gt;=0.75, "Good", IF(G33&gt;=0.5, "Moderate", IF(G33&gt;=0.25, "Low", "Critical"))))</f>
        <v/>
      </c>
      <c r="J33" s="40">
        <f>G33+(1000-ROW())/1000000</f>
        <v/>
      </c>
      <c r="K33" s="40">
        <f>IF(C33&gt;0, G33+ROW()/1000000, 9.99)</f>
        <v/>
      </c>
    </row>
    <row r="34" ht="22" customHeight="1">
      <c r="A34" s="44" t="n"/>
      <c r="B34" s="45" t="inlineStr">
        <is>
          <t>Total</t>
        </is>
      </c>
      <c r="C34" s="46">
        <f>SUM(C17:C33)</f>
        <v/>
      </c>
      <c r="D34" s="47">
        <f>SUM(D17:D33)</f>
        <v/>
      </c>
      <c r="E34" s="47">
        <f>SUM(E17:E33)</f>
        <v/>
      </c>
      <c r="F34" s="47">
        <f>SUM(F17:F33)</f>
        <v/>
      </c>
      <c r="G34" s="48">
        <f>IF(D34&gt;0, E34/D34, 0)</f>
        <v/>
      </c>
      <c r="H34" s="48">
        <f>IF(SUM(Employee_KPI_Summary!$K$6:$K$93)&gt;0, SUM(Employee_KPI_Summary!$J$6:$J$93)/SUM(Employee_KPI_Summary!$K$6:$K$93), 1.0)</f>
        <v/>
      </c>
      <c r="I34" s="49">
        <f>IF(G34&gt;=1.0, "Achieved", IF(G34&gt;=0.75, "Good", IF(G34&gt;=0.5, "Moderate", IF(G34&gt;=0.25, "Low", "Critical"))))</f>
        <v/>
      </c>
      <c r="J34" s="44" t="n"/>
      <c r="K34" s="44" t="n"/>
    </row>
    <row r="37" ht="22" customHeight="1">
      <c r="A37" s="50" t="inlineStr">
        <is>
          <t>Top Performing Departments</t>
        </is>
      </c>
      <c r="G37" s="51" t="inlineStr">
        <is>
          <t>Departments Requiring Attention</t>
        </is>
      </c>
    </row>
    <row r="38" ht="20" customHeight="1">
      <c r="A38" s="52" t="inlineStr">
        <is>
          <t>Rank</t>
        </is>
      </c>
      <c r="B38" s="52" t="inlineStr">
        <is>
          <t>Department</t>
        </is>
      </c>
      <c r="C38" s="52" t="inlineStr">
        <is>
          <t>Achievement %</t>
        </is>
      </c>
      <c r="D38" s="52" t="inlineStr">
        <is>
          <t>Actual Hours</t>
        </is>
      </c>
      <c r="E38" s="52" t="inlineStr">
        <is>
          <t>Attendance %</t>
        </is>
      </c>
      <c r="G38" s="52" t="inlineStr">
        <is>
          <t>Department</t>
        </is>
      </c>
      <c r="H38" s="52" t="inlineStr">
        <is>
          <t>Remaining Hours</t>
        </is>
      </c>
      <c r="I38" s="52" t="inlineStr">
        <is>
          <t>Compliance %</t>
        </is>
      </c>
      <c r="J38" s="52" t="inlineStr">
        <is>
          <t>Risk Indicator</t>
        </is>
      </c>
    </row>
    <row r="39" ht="20" customHeight="1">
      <c r="A39" s="43" t="n">
        <v>1</v>
      </c>
      <c r="B39" s="39">
        <f>INDEX($B$17:$B$33, MATCH(LARGE($J$17:$J$33, A39), $J$17:$J$33, 0))</f>
        <v/>
      </c>
      <c r="C39" s="42">
        <f>INDEX($G$17:$G$33, MATCH(LARGE($J$17:$J$33, A39), $J$17:$J$33, 0))</f>
        <v/>
      </c>
      <c r="D39" s="41">
        <f>INDEX($E$17:$E$33, MATCH(LARGE($J$17:$J$33, A39), $J$17:$J$33, 0))</f>
        <v/>
      </c>
      <c r="E39" s="42">
        <f>INDEX($H$17:$H$33, MATCH(LARGE($J$17:$J$33, A39), $J$17:$J$33, 0))</f>
        <v/>
      </c>
      <c r="G39" s="39">
        <f>INDEX($B$17:$B$33, MATCH(SMALL($K$17:$K$33, 1), $K$17:$K$33, 0))</f>
        <v/>
      </c>
      <c r="H39" s="41">
        <f>INDEX($F$17:$F$33, MATCH(SMALL($K$17:$K$33, 1), $K$17:$K$33, 0))</f>
        <v/>
      </c>
      <c r="I39" s="42">
        <f>INDEX($G$17:$G$33, MATCH(SMALL($K$17:$K$33, 1), $K$17:$K$33, 0))</f>
        <v/>
      </c>
      <c r="J39" s="43">
        <f>IF(I39&lt;0.5, "🔴 Critical Risk", IF(I39&lt;0.75, "🟡 Moderate Risk", "🟢 Low Risk"))</f>
        <v/>
      </c>
    </row>
    <row r="40" ht="20" customHeight="1">
      <c r="A40" s="43" t="n">
        <v>2</v>
      </c>
      <c r="B40" s="39">
        <f>INDEX($B$17:$B$33, MATCH(LARGE($J$17:$J$33, A40), $J$17:$J$33, 0))</f>
        <v/>
      </c>
      <c r="C40" s="42">
        <f>INDEX($G$17:$G$33, MATCH(LARGE($J$17:$J$33, A40), $J$17:$J$33, 0))</f>
        <v/>
      </c>
      <c r="D40" s="41">
        <f>INDEX($E$17:$E$33, MATCH(LARGE($J$17:$J$33, A40), $J$17:$J$33, 0))</f>
        <v/>
      </c>
      <c r="E40" s="42">
        <f>INDEX($H$17:$H$33, MATCH(LARGE($J$17:$J$33, A40), $J$17:$J$33, 0))</f>
        <v/>
      </c>
      <c r="G40" s="39">
        <f>INDEX($B$17:$B$33, MATCH(SMALL($K$17:$K$33, 2), $K$17:$K$33, 0))</f>
        <v/>
      </c>
      <c r="H40" s="41">
        <f>INDEX($F$17:$F$33, MATCH(SMALL($K$17:$K$33, 2), $K$17:$K$33, 0))</f>
        <v/>
      </c>
      <c r="I40" s="42">
        <f>INDEX($G$17:$G$33, MATCH(SMALL($K$17:$K$33, 2), $K$17:$K$33, 0))</f>
        <v/>
      </c>
      <c r="J40" s="43">
        <f>IF(I40&lt;0.5, "🔴 Critical Risk", IF(I40&lt;0.75, "🟡 Moderate Risk", "🟢 Low Risk"))</f>
        <v/>
      </c>
    </row>
    <row r="41" ht="20" customHeight="1">
      <c r="A41" s="43" t="n">
        <v>3</v>
      </c>
      <c r="B41" s="39">
        <f>INDEX($B$17:$B$33, MATCH(LARGE($J$17:$J$33, A41), $J$17:$J$33, 0))</f>
        <v/>
      </c>
      <c r="C41" s="42">
        <f>INDEX($G$17:$G$33, MATCH(LARGE($J$17:$J$33, A41), $J$17:$J$33, 0))</f>
        <v/>
      </c>
      <c r="D41" s="41">
        <f>INDEX($E$17:$E$33, MATCH(LARGE($J$17:$J$33, A41), $J$17:$J$33, 0))</f>
        <v/>
      </c>
      <c r="E41" s="42">
        <f>INDEX($H$17:$H$33, MATCH(LARGE($J$17:$J$33, A41), $J$17:$J$33, 0))</f>
        <v/>
      </c>
      <c r="G41" s="39">
        <f>INDEX($B$17:$B$33, MATCH(SMALL($K$17:$K$33, 3), $K$17:$K$33, 0))</f>
        <v/>
      </c>
      <c r="H41" s="41">
        <f>INDEX($F$17:$F$33, MATCH(SMALL($K$17:$K$33, 3), $K$17:$K$33, 0))</f>
        <v/>
      </c>
      <c r="I41" s="42">
        <f>INDEX($G$17:$G$33, MATCH(SMALL($K$17:$K$33, 3), $K$17:$K$33, 0))</f>
        <v/>
      </c>
      <c r="J41" s="43">
        <f>IF(I41&lt;0.5, "🔴 Critical Risk", IF(I41&lt;0.75, "🟡 Moderate Risk", "🟢 Low Risk"))</f>
        <v/>
      </c>
    </row>
    <row r="42" ht="20" customHeight="1">
      <c r="A42" s="43" t="n">
        <v>4</v>
      </c>
      <c r="B42" s="39">
        <f>INDEX($B$17:$B$33, MATCH(LARGE($J$17:$J$33, A42), $J$17:$J$33, 0))</f>
        <v/>
      </c>
      <c r="C42" s="42">
        <f>INDEX($G$17:$G$33, MATCH(LARGE($J$17:$J$33, A42), $J$17:$J$33, 0))</f>
        <v/>
      </c>
      <c r="D42" s="41">
        <f>INDEX($E$17:$E$33, MATCH(LARGE($J$17:$J$33, A42), $J$17:$J$33, 0))</f>
        <v/>
      </c>
      <c r="E42" s="42">
        <f>INDEX($H$17:$H$33, MATCH(LARGE($J$17:$J$33, A42), $J$17:$J$33, 0))</f>
        <v/>
      </c>
      <c r="G42" s="39">
        <f>INDEX($B$17:$B$33, MATCH(SMALL($K$17:$K$33, 4), $K$17:$K$33, 0))</f>
        <v/>
      </c>
      <c r="H42" s="41">
        <f>INDEX($F$17:$F$33, MATCH(SMALL($K$17:$K$33, 4), $K$17:$K$33, 0))</f>
        <v/>
      </c>
      <c r="I42" s="42">
        <f>INDEX($G$17:$G$33, MATCH(SMALL($K$17:$K$33, 4), $K$17:$K$33, 0))</f>
        <v/>
      </c>
      <c r="J42" s="43">
        <f>IF(I42&lt;0.5, "🔴 Critical Risk", IF(I42&lt;0.75, "🟡 Moderate Risk", "🟢 Low Risk"))</f>
        <v/>
      </c>
    </row>
    <row r="43" ht="20" customHeight="1">
      <c r="A43" s="43" t="n">
        <v>5</v>
      </c>
      <c r="B43" s="39">
        <f>INDEX($B$17:$B$33, MATCH(LARGE($J$17:$J$33, A43), $J$17:$J$33, 0))</f>
        <v/>
      </c>
      <c r="C43" s="42">
        <f>INDEX($G$17:$G$33, MATCH(LARGE($J$17:$J$33, A43), $J$17:$J$33, 0))</f>
        <v/>
      </c>
      <c r="D43" s="41">
        <f>INDEX($E$17:$E$33, MATCH(LARGE($J$17:$J$33, A43), $J$17:$J$33, 0))</f>
        <v/>
      </c>
      <c r="E43" s="42">
        <f>INDEX($H$17:$H$33, MATCH(LARGE($J$17:$J$33, A43), $J$17:$J$33, 0))</f>
        <v/>
      </c>
      <c r="G43" s="39">
        <f>INDEX($B$17:$B$33, MATCH(SMALL($K$17:$K$33, 5), $K$17:$K$33, 0))</f>
        <v/>
      </c>
      <c r="H43" s="41">
        <f>INDEX($F$17:$F$33, MATCH(SMALL($K$17:$K$33, 5), $K$17:$K$33, 0))</f>
        <v/>
      </c>
      <c r="I43" s="42">
        <f>INDEX($G$17:$G$33, MATCH(SMALL($K$17:$K$33, 5), $K$17:$K$33, 0))</f>
        <v/>
      </c>
      <c r="J43" s="43">
        <f>IF(I43&lt;0.5, "🔴 Critical Risk", IF(I43&lt;0.75, "🟡 Moderate Risk", "🟢 Low Risk"))</f>
        <v/>
      </c>
    </row>
    <row r="46" ht="22" customHeight="1">
      <c r="A46" s="53" t="inlineStr">
        <is>
          <t>Monthly Learning Trends (FY)</t>
        </is>
      </c>
      <c r="G46" s="54" t="inlineStr">
        <is>
          <t>Executive KPI Insights</t>
        </is>
      </c>
    </row>
    <row r="47" ht="20" customHeight="1">
      <c r="A47" s="52" t="inlineStr">
        <is>
          <t>Month</t>
        </is>
      </c>
      <c r="B47" s="52" t="inlineStr">
        <is>
          <t>Target Hours</t>
        </is>
      </c>
      <c r="C47" s="52" t="inlineStr">
        <is>
          <t>Actual Hours</t>
        </is>
      </c>
      <c r="D47" s="52" t="inlineStr">
        <is>
          <t>Achievement %</t>
        </is>
      </c>
    </row>
    <row r="48" ht="24" customHeight="1">
      <c r="A48" s="39" t="inlineStr">
        <is>
          <t>April</t>
        </is>
      </c>
      <c r="B48" s="41">
        <f>$A$11 * 1.33</f>
        <v/>
      </c>
      <c r="C48" s="41">
        <f>SUMIFS(Raw_Attendance_Data!$S$2:$S$2, Raw_Attendance_Data!$I$2:$I$2, A48, Raw_Attendance_Data!$A$2:$A$2, 1)</f>
        <v/>
      </c>
      <c r="D48" s="42">
        <f>IF(B48&gt;0, C48/B48, 0)</f>
        <v/>
      </c>
      <c r="G48" s="55">
        <f>"• " &amp; INDEX(B17:B33, MATCH(MAX(E17:E33), E17:E33, 0)) &amp; " contributed the highest learning hours (" &amp; TEXT(MAX(E17:E33), "#,##0") &amp; " hours)."</f>
        <v/>
      </c>
      <c r="H48" s="56" t="n"/>
      <c r="I48" s="56" t="n"/>
      <c r="J48" s="56" t="n"/>
      <c r="K48" s="56" t="n"/>
    </row>
    <row r="49" ht="24" customHeight="1">
      <c r="A49" s="39" t="inlineStr">
        <is>
          <t>May</t>
        </is>
      </c>
      <c r="B49" s="41">
        <f>$A$11 * 1.33</f>
        <v/>
      </c>
      <c r="C49" s="41">
        <f>SUMIFS(Raw_Attendance_Data!$S$2:$S$2, Raw_Attendance_Data!$I$2:$I$2, A49, Raw_Attendance_Data!$A$2:$A$2, 1)</f>
        <v/>
      </c>
      <c r="D49" s="42">
        <f>IF(B49&gt;0, C49/B49, 0)</f>
        <v/>
      </c>
      <c r="G49" s="55">
        <f>"• " &amp; INDEX(B17:B33, MATCH(MIN(K17:K33), K17:K33, 0)) &amp; " is " &amp; TEXT(MAX(0, 1-MIN(K17:K33)), "0%") &amp; " below annual learning target."</f>
        <v/>
      </c>
      <c r="H49" s="56" t="n"/>
      <c r="I49" s="56" t="n"/>
      <c r="J49" s="56" t="n"/>
      <c r="K49" s="56" t="n"/>
    </row>
    <row r="50" ht="24" customHeight="1">
      <c r="A50" s="39" t="inlineStr">
        <is>
          <t>June</t>
        </is>
      </c>
      <c r="B50" s="41">
        <f>$A$11 * 1.33</f>
        <v/>
      </c>
      <c r="C50" s="41">
        <f>SUMIFS(Raw_Attendance_Data!$S$2:$S$2, Raw_Attendance_Data!$I$2:$I$2, A50, Raw_Attendance_Data!$A$2:$A$2, 1)</f>
        <v/>
      </c>
      <c r="D50" s="42">
        <f>IF(B50&gt;0, C50/B50, 0)</f>
        <v/>
      </c>
      <c r="G50" s="55">
        <f>"• " &amp; INDEX(B17:B33, MATCH(MAX(G17:G33), G17:G33, 0)) &amp; " achieved " &amp; TEXT(MAX(G17:G33), "0.0%") &amp; " learning compliance."</f>
        <v/>
      </c>
      <c r="H50" s="56" t="n"/>
      <c r="I50" s="56" t="n"/>
      <c r="J50" s="56" t="n"/>
      <c r="K50" s="56" t="n"/>
    </row>
    <row r="51" ht="24" customHeight="1">
      <c r="A51" s="39" t="inlineStr">
        <is>
          <t>July</t>
        </is>
      </c>
      <c r="B51" s="41">
        <f>$A$11 * 1.33</f>
        <v/>
      </c>
      <c r="C51" s="41">
        <f>SUMIFS(Raw_Attendance_Data!$S$2:$S$2, Raw_Attendance_Data!$I$2:$I$2, A51, Raw_Attendance_Data!$A$2:$A$2, 1)</f>
        <v/>
      </c>
      <c r="D51" s="42">
        <f>IF(B51&gt;0, C51/B51, 0)</f>
        <v/>
      </c>
      <c r="G51" s="55">
        <f>"• Organization-wide learning compliance stands at " &amp; TEXT(A13, "0.0%") &amp; "."</f>
        <v/>
      </c>
      <c r="H51" s="56" t="n"/>
      <c r="I51" s="56" t="n"/>
      <c r="J51" s="56" t="n"/>
      <c r="K51" s="56" t="n"/>
    </row>
    <row r="52" ht="18" customHeight="1">
      <c r="A52" s="39" t="inlineStr">
        <is>
          <t>August</t>
        </is>
      </c>
      <c r="B52" s="41">
        <f>$A$11 * 1.33</f>
        <v/>
      </c>
      <c r="C52" s="41">
        <f>SUMIFS(Raw_Attendance_Data!$S$2:$S$2, Raw_Attendance_Data!$I$2:$I$2, A52, Raw_Attendance_Data!$A$2:$A$2, 1)</f>
        <v/>
      </c>
      <c r="D52" s="42">
        <f>IF(B52&gt;0, C52/B52, 0)</f>
        <v/>
      </c>
    </row>
    <row r="53" ht="18" customHeight="1">
      <c r="A53" s="39" t="inlineStr">
        <is>
          <t>September</t>
        </is>
      </c>
      <c r="B53" s="41">
        <f>$A$11 * 1.33</f>
        <v/>
      </c>
      <c r="C53" s="41">
        <f>SUMIFS(Raw_Attendance_Data!$S$2:$S$2, Raw_Attendance_Data!$I$2:$I$2, A53, Raw_Attendance_Data!$A$2:$A$2, 1)</f>
        <v/>
      </c>
      <c r="D53" s="42">
        <f>IF(B53&gt;0, C53/B53, 0)</f>
        <v/>
      </c>
    </row>
    <row r="54" ht="18" customHeight="1">
      <c r="A54" s="39" t="inlineStr">
        <is>
          <t>October</t>
        </is>
      </c>
      <c r="B54" s="41">
        <f>$A$11 * 1.33</f>
        <v/>
      </c>
      <c r="C54" s="41">
        <f>SUMIFS(Raw_Attendance_Data!$S$2:$S$2, Raw_Attendance_Data!$I$2:$I$2, A54, Raw_Attendance_Data!$A$2:$A$2, 1)</f>
        <v/>
      </c>
      <c r="D54" s="42">
        <f>IF(B54&gt;0, C54/B54, 0)</f>
        <v/>
      </c>
    </row>
    <row r="55" ht="18" customHeight="1">
      <c r="A55" s="39" t="inlineStr">
        <is>
          <t>November</t>
        </is>
      </c>
      <c r="B55" s="41">
        <f>$A$11 * 1.33</f>
        <v/>
      </c>
      <c r="C55" s="41">
        <f>SUMIFS(Raw_Attendance_Data!$S$2:$S$2, Raw_Attendance_Data!$I$2:$I$2, A55, Raw_Attendance_Data!$A$2:$A$2, 1)</f>
        <v/>
      </c>
      <c r="D55" s="42">
        <f>IF(B55&gt;0, C55/B55, 0)</f>
        <v/>
      </c>
    </row>
    <row r="56" ht="18" customHeight="1">
      <c r="A56" s="39" t="inlineStr">
        <is>
          <t>December</t>
        </is>
      </c>
      <c r="B56" s="41">
        <f>$A$11 * 1.33</f>
        <v/>
      </c>
      <c r="C56" s="41">
        <f>SUMIFS(Raw_Attendance_Data!$S$2:$S$2, Raw_Attendance_Data!$I$2:$I$2, A56, Raw_Attendance_Data!$A$2:$A$2, 1)</f>
        <v/>
      </c>
      <c r="D56" s="42">
        <f>IF(B56&gt;0, C56/B56, 0)</f>
        <v/>
      </c>
    </row>
    <row r="57" ht="18" customHeight="1">
      <c r="A57" s="39" t="inlineStr">
        <is>
          <t>January</t>
        </is>
      </c>
      <c r="B57" s="41">
        <f>$A$11 * 1.33</f>
        <v/>
      </c>
      <c r="C57" s="41">
        <f>SUMIFS(Raw_Attendance_Data!$S$2:$S$2, Raw_Attendance_Data!$I$2:$I$2, A57, Raw_Attendance_Data!$A$2:$A$2, 1)</f>
        <v/>
      </c>
      <c r="D57" s="42">
        <f>IF(B57&gt;0, C57/B57, 0)</f>
        <v/>
      </c>
    </row>
    <row r="58" ht="18" customHeight="1">
      <c r="A58" s="39" t="inlineStr">
        <is>
          <t>February</t>
        </is>
      </c>
      <c r="B58" s="41">
        <f>$A$11 * 1.33</f>
        <v/>
      </c>
      <c r="C58" s="41">
        <f>SUMIFS(Raw_Attendance_Data!$S$2:$S$2, Raw_Attendance_Data!$I$2:$I$2, A58, Raw_Attendance_Data!$A$2:$A$2, 1)</f>
        <v/>
      </c>
      <c r="D58" s="42">
        <f>IF(B58&gt;0, C58/B58, 0)</f>
        <v/>
      </c>
    </row>
    <row r="59" ht="18" customHeight="1">
      <c r="A59" s="39" t="inlineStr">
        <is>
          <t>March</t>
        </is>
      </c>
      <c r="B59" s="41">
        <f>$A$11 * 1.33</f>
        <v/>
      </c>
      <c r="C59" s="41">
        <f>SUMIFS(Raw_Attendance_Data!$S$2:$S$2, Raw_Attendance_Data!$I$2:$I$2, A59, Raw_Attendance_Data!$A$2:$A$2, 1)</f>
        <v/>
      </c>
      <c r="D59" s="42">
        <f>IF(B59&gt;0, C59/B59, 0)</f>
        <v/>
      </c>
    </row>
  </sheetData>
  <mergeCells count="42">
    <mergeCell ref="E12:F12"/>
    <mergeCell ref="J6:L6"/>
    <mergeCell ref="G12:H12"/>
    <mergeCell ref="G6:I6"/>
    <mergeCell ref="A15:K15"/>
    <mergeCell ref="A11:B11"/>
    <mergeCell ref="G11:H11"/>
    <mergeCell ref="E5:F5"/>
    <mergeCell ref="I10:L10"/>
    <mergeCell ref="D5"/>
    <mergeCell ref="G48:K48"/>
    <mergeCell ref="I13:L13"/>
    <mergeCell ref="A2:L2"/>
    <mergeCell ref="C10:D10"/>
    <mergeCell ref="G5:I5"/>
    <mergeCell ref="E10:F10"/>
    <mergeCell ref="G10:H10"/>
    <mergeCell ref="E13:F13"/>
    <mergeCell ref="A37:E37"/>
    <mergeCell ref="A46:E46"/>
    <mergeCell ref="G13:H13"/>
    <mergeCell ref="I11:L11"/>
    <mergeCell ref="G49:K49"/>
    <mergeCell ref="A4:L4"/>
    <mergeCell ref="A12:B12"/>
    <mergeCell ref="C12:D12"/>
    <mergeCell ref="E6:F6"/>
    <mergeCell ref="C11:D11"/>
    <mergeCell ref="E11:F11"/>
    <mergeCell ref="D6"/>
    <mergeCell ref="G37:J37"/>
    <mergeCell ref="J5:L5"/>
    <mergeCell ref="B6:C6"/>
    <mergeCell ref="G51:K51"/>
    <mergeCell ref="B5:C5"/>
    <mergeCell ref="A1:L1"/>
    <mergeCell ref="A10:B10"/>
    <mergeCell ref="I12:L12"/>
    <mergeCell ref="G50:K50"/>
    <mergeCell ref="A13:B13"/>
    <mergeCell ref="C13:D13"/>
    <mergeCell ref="G46:K46"/>
  </mergeCells>
  <dataValidations count="5">
    <dataValidation sqref="B6" showDropDown="0" showInputMessage="0" showErrorMessage="0" allowBlank="1" type="list">
      <formula1>Filter_Lists!$A$2:$A$20</formula1>
    </dataValidation>
    <dataValidation sqref="D6" showDropDown="0" showInputMessage="0" showErrorMessage="0" allowBlank="1" type="list">
      <formula1>Filter_Lists!$B$2:$B$6</formula1>
    </dataValidation>
    <dataValidation sqref="E6" showDropDown="0" showInputMessage="0" showErrorMessage="0" allowBlank="1" type="list">
      <formula1>Filter_Lists!$C$2:$C$14</formula1>
    </dataValidation>
    <dataValidation sqref="G6" showDropDown="0" showInputMessage="0" showErrorMessage="0" allowBlank="1" type="list">
      <formula1>Filter_Lists!$D$2:$D$19</formula1>
    </dataValidation>
    <dataValidation sqref="J6" showDropDown="0" showInputMessage="0" showErrorMessage="0" allowBlank="1" type="list">
      <formula1>Filter_Lists!$E$2:$E$10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Matches_Filter</t>
        </is>
      </c>
      <c r="B1" t="inlineStr">
        <is>
          <t>Employee Code</t>
        </is>
      </c>
      <c r="C1" t="inlineStr">
        <is>
          <t>Employee Name</t>
        </is>
      </c>
      <c r="D1" t="inlineStr">
        <is>
          <t>Department</t>
        </is>
      </c>
      <c r="E1" t="inlineStr">
        <is>
          <t>Manager</t>
        </is>
      </c>
      <c r="F1" t="inlineStr">
        <is>
          <t>Training Date</t>
        </is>
      </c>
      <c r="G1" t="inlineStr">
        <is>
          <t>Financial Year</t>
        </is>
      </c>
      <c r="H1" t="inlineStr">
        <is>
          <t>Quarter</t>
        </is>
      </c>
      <c r="I1" t="inlineStr">
        <is>
          <t>Month Name</t>
        </is>
      </c>
      <c r="J1" t="inlineStr">
        <is>
          <t>Training Title</t>
        </is>
      </c>
      <c r="K1" t="inlineStr">
        <is>
          <t>Training Category</t>
        </is>
      </c>
      <c r="L1" t="inlineStr">
        <is>
          <t>Training Type</t>
        </is>
      </c>
      <c r="M1" t="inlineStr">
        <is>
          <t>Attendance Status</t>
        </is>
      </c>
      <c r="N1" t="inlineStr">
        <is>
          <t>Actual Hours</t>
        </is>
      </c>
      <c r="O1" t="inlineStr">
        <is>
          <t>Max Hours</t>
        </is>
      </c>
      <c r="P1" t="inlineStr">
        <is>
          <t>Is_Unique_Training</t>
        </is>
      </c>
      <c r="Q1" t="inlineStr">
        <is>
          <t>Is_Attended_Present</t>
        </is>
      </c>
      <c r="R1" t="inlineStr">
        <is>
          <t>Is_Completed</t>
        </is>
      </c>
      <c r="S1" t="inlineStr">
        <is>
          <t>Actual Hours Credit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3"/>
  <sheetViews>
    <sheetView showGridLines="1" workbookViewId="0">
      <selection activeCell="A1" sqref="A1"/>
    </sheetView>
  </sheetViews>
  <sheetFormatPr baseColWidth="8" defaultRowHeight="15"/>
  <sheetData>
    <row r="1">
      <c r="A1" s="57" t="inlineStr">
        <is>
          <t>Detailed Employee KPI Metrics &amp; Compliance Status</t>
        </is>
      </c>
    </row>
    <row r="2">
      <c r="A2" t="inlineStr">
        <is>
          <t>Do not edit this sheet directly. It contains formulas linking Employee metrics to the Dashboard filters.</t>
        </is>
      </c>
    </row>
    <row r="6">
      <c r="A6" t="n">
        <v>1</v>
      </c>
      <c r="B6" t="inlineStr">
        <is>
          <t>001</t>
        </is>
      </c>
      <c r="C6" t="inlineStr">
        <is>
          <t>Sagar Ramesh</t>
        </is>
      </c>
      <c r="D6" t="inlineStr">
        <is>
          <t>QA</t>
        </is>
      </c>
      <c r="E6" t="inlineStr">
        <is>
          <t>Srinivasan Beeman</t>
        </is>
      </c>
      <c r="F6">
        <f>IF(OR('Department KPI Analytics'!$G$6="All", D6='Department KPI Analytics'!$G$6), 16, 0)</f>
        <v/>
      </c>
      <c r="G6">
        <f>SUMIFS(Raw_Attendance_Data!$S$2:$S$2, Raw_Attendance_Data!$B$2:$B$2, B6, Raw_Attendance_Data!$A$2:$A$2, 1)</f>
        <v/>
      </c>
      <c r="H6">
        <f>MAX(F6-G6, 0)</f>
        <v/>
      </c>
      <c r="I6">
        <f>IF(F6&gt;0, G6/F6, 0)</f>
        <v/>
      </c>
      <c r="J6">
        <f>COUNTIFS(Raw_Attendance_Data!$B$2:$B$2, B6, Raw_Attendance_Data!$A$2:$A$2, 1, Raw_Attendance_Data!$Q$2:$Q$2, 1)</f>
        <v/>
      </c>
      <c r="K6">
        <f>COUNTIFS(Raw_Attendance_Data!$B$2:$B$2, B6, Raw_Attendance_Data!$A$2:$A$2, 1)</f>
        <v/>
      </c>
      <c r="L6">
        <f>IF(K6&gt;0, J6/K6, 1.0)</f>
        <v/>
      </c>
    </row>
    <row r="7">
      <c r="A7" t="n">
        <v>2</v>
      </c>
      <c r="B7" t="inlineStr">
        <is>
          <t>003</t>
        </is>
      </c>
      <c r="C7" t="inlineStr">
        <is>
          <t>Megha Lakshmi Murugamani</t>
        </is>
      </c>
      <c r="D7" t="inlineStr">
        <is>
          <t>CRM</t>
        </is>
      </c>
      <c r="E7" t="inlineStr">
        <is>
          <t>Prakash Padukhone Muthiah</t>
        </is>
      </c>
      <c r="F7">
        <f>IF(OR('Department KPI Analytics'!$G$6="All", D7='Department KPI Analytics'!$G$6), 16, 0)</f>
        <v/>
      </c>
      <c r="G7">
        <f>SUMIFS(Raw_Attendance_Data!$S$2:$S$2, Raw_Attendance_Data!$B$2:$B$2, B7, Raw_Attendance_Data!$A$2:$A$2, 1)</f>
        <v/>
      </c>
      <c r="H7">
        <f>MAX(F7-G7, 0)</f>
        <v/>
      </c>
      <c r="I7">
        <f>IF(F7&gt;0, G7/F7, 0)</f>
        <v/>
      </c>
      <c r="J7">
        <f>COUNTIFS(Raw_Attendance_Data!$B$2:$B$2, B7, Raw_Attendance_Data!$A$2:$A$2, 1, Raw_Attendance_Data!$Q$2:$Q$2, 1)</f>
        <v/>
      </c>
      <c r="K7">
        <f>COUNTIFS(Raw_Attendance_Data!$B$2:$B$2, B7, Raw_Attendance_Data!$A$2:$A$2, 1)</f>
        <v/>
      </c>
      <c r="L7">
        <f>IF(K7&gt;0, J7/K7, 1.0)</f>
        <v/>
      </c>
    </row>
    <row r="8">
      <c r="A8" t="n">
        <v>3</v>
      </c>
      <c r="B8" t="inlineStr">
        <is>
          <t>005</t>
        </is>
      </c>
      <c r="C8" t="inlineStr">
        <is>
          <t>Arunkumar Selvaraj</t>
        </is>
      </c>
      <c r="D8" t="inlineStr">
        <is>
          <t>RFQ</t>
        </is>
      </c>
      <c r="E8" t="inlineStr">
        <is>
          <t>R Rathina Kumar</t>
        </is>
      </c>
      <c r="F8">
        <f>IF(OR('Department KPI Analytics'!$G$6="All", D8='Department KPI Analytics'!$G$6), 16, 0)</f>
        <v/>
      </c>
      <c r="G8">
        <f>SUMIFS(Raw_Attendance_Data!$S$2:$S$2, Raw_Attendance_Data!$B$2:$B$2, B8, Raw_Attendance_Data!$A$2:$A$2, 1)</f>
        <v/>
      </c>
      <c r="H8">
        <f>MAX(F8-G8, 0)</f>
        <v/>
      </c>
      <c r="I8">
        <f>IF(F8&gt;0, G8/F8, 0)</f>
        <v/>
      </c>
      <c r="J8">
        <f>COUNTIFS(Raw_Attendance_Data!$B$2:$B$2, B8, Raw_Attendance_Data!$A$2:$A$2, 1, Raw_Attendance_Data!$Q$2:$Q$2, 1)</f>
        <v/>
      </c>
      <c r="K8">
        <f>COUNTIFS(Raw_Attendance_Data!$B$2:$B$2, B8, Raw_Attendance_Data!$A$2:$A$2, 1)</f>
        <v/>
      </c>
      <c r="L8">
        <f>IF(K8&gt;0, J8/K8, 1.0)</f>
        <v/>
      </c>
    </row>
    <row r="9">
      <c r="A9" t="n">
        <v>4</v>
      </c>
      <c r="B9" t="inlineStr">
        <is>
          <t>006</t>
        </is>
      </c>
      <c r="C9" t="inlineStr">
        <is>
          <t>Nalini Vasudevan</t>
        </is>
      </c>
      <c r="D9" t="inlineStr">
        <is>
          <t>Stores</t>
        </is>
      </c>
      <c r="E9" t="inlineStr">
        <is>
          <t>Sakthivel Muthu</t>
        </is>
      </c>
      <c r="F9">
        <f>IF(OR('Department KPI Analytics'!$G$6="All", D9='Department KPI Analytics'!$G$6), 16, 0)</f>
        <v/>
      </c>
      <c r="G9">
        <f>SUMIFS(Raw_Attendance_Data!$S$2:$S$2, Raw_Attendance_Data!$B$2:$B$2, B9, Raw_Attendance_Data!$A$2:$A$2, 1)</f>
        <v/>
      </c>
      <c r="H9">
        <f>MAX(F9-G9, 0)</f>
        <v/>
      </c>
      <c r="I9">
        <f>IF(F9&gt;0, G9/F9, 0)</f>
        <v/>
      </c>
      <c r="J9">
        <f>COUNTIFS(Raw_Attendance_Data!$B$2:$B$2, B9, Raw_Attendance_Data!$A$2:$A$2, 1, Raw_Attendance_Data!$Q$2:$Q$2, 1)</f>
        <v/>
      </c>
      <c r="K9">
        <f>COUNTIFS(Raw_Attendance_Data!$B$2:$B$2, B9, Raw_Attendance_Data!$A$2:$A$2, 1)</f>
        <v/>
      </c>
      <c r="L9">
        <f>IF(K9&gt;0, J9/K9, 1.0)</f>
        <v/>
      </c>
    </row>
    <row r="10">
      <c r="A10" t="n">
        <v>5</v>
      </c>
      <c r="B10" t="inlineStr">
        <is>
          <t>007</t>
        </is>
      </c>
      <c r="C10" t="inlineStr">
        <is>
          <t>Naveenkumar M</t>
        </is>
      </c>
      <c r="D10" t="inlineStr">
        <is>
          <t>NPD</t>
        </is>
      </c>
      <c r="E10" t="inlineStr">
        <is>
          <t>Prakash Padukhone Muthiah</t>
        </is>
      </c>
      <c r="F10">
        <f>IF(OR('Department KPI Analytics'!$G$6="All", D10='Department KPI Analytics'!$G$6), 16, 0)</f>
        <v/>
      </c>
      <c r="G10">
        <f>SUMIFS(Raw_Attendance_Data!$S$2:$S$2, Raw_Attendance_Data!$B$2:$B$2, B10, Raw_Attendance_Data!$A$2:$A$2, 1)</f>
        <v/>
      </c>
      <c r="H10">
        <f>MAX(F10-G10, 0)</f>
        <v/>
      </c>
      <c r="I10">
        <f>IF(F10&gt;0, G10/F10, 0)</f>
        <v/>
      </c>
      <c r="J10">
        <f>COUNTIFS(Raw_Attendance_Data!$B$2:$B$2, B10, Raw_Attendance_Data!$A$2:$A$2, 1, Raw_Attendance_Data!$Q$2:$Q$2, 1)</f>
        <v/>
      </c>
      <c r="K10">
        <f>COUNTIFS(Raw_Attendance_Data!$B$2:$B$2, B10, Raw_Attendance_Data!$A$2:$A$2, 1)</f>
        <v/>
      </c>
      <c r="L10">
        <f>IF(K10&gt;0, J10/K10, 1.0)</f>
        <v/>
      </c>
    </row>
    <row r="11">
      <c r="A11" t="n">
        <v>6</v>
      </c>
      <c r="B11" t="inlineStr">
        <is>
          <t>008</t>
        </is>
      </c>
      <c r="C11" t="inlineStr">
        <is>
          <t>Nethaji Raja</t>
        </is>
      </c>
      <c r="D11" t="inlineStr">
        <is>
          <t>QA</t>
        </is>
      </c>
      <c r="E11" t="inlineStr">
        <is>
          <t>R Rathina Kumar</t>
        </is>
      </c>
      <c r="F11">
        <f>IF(OR('Department KPI Analytics'!$G$6="All", D11='Department KPI Analytics'!$G$6), 16, 0)</f>
        <v/>
      </c>
      <c r="G11">
        <f>SUMIFS(Raw_Attendance_Data!$S$2:$S$2, Raw_Attendance_Data!$B$2:$B$2, B11, Raw_Attendance_Data!$A$2:$A$2, 1)</f>
        <v/>
      </c>
      <c r="H11">
        <f>MAX(F11-G11, 0)</f>
        <v/>
      </c>
      <c r="I11">
        <f>IF(F11&gt;0, G11/F11, 0)</f>
        <v/>
      </c>
      <c r="J11">
        <f>COUNTIFS(Raw_Attendance_Data!$B$2:$B$2, B11, Raw_Attendance_Data!$A$2:$A$2, 1, Raw_Attendance_Data!$Q$2:$Q$2, 1)</f>
        <v/>
      </c>
      <c r="K11">
        <f>COUNTIFS(Raw_Attendance_Data!$B$2:$B$2, B11, Raw_Attendance_Data!$A$2:$A$2, 1)</f>
        <v/>
      </c>
      <c r="L11">
        <f>IF(K11&gt;0, J11/K11, 1.0)</f>
        <v/>
      </c>
    </row>
    <row r="12">
      <c r="A12" t="n">
        <v>7</v>
      </c>
      <c r="B12" t="inlineStr">
        <is>
          <t>011</t>
        </is>
      </c>
      <c r="C12" t="inlineStr">
        <is>
          <t>Mariyaruban Mariyakilaimans</t>
        </is>
      </c>
      <c r="D12" t="inlineStr">
        <is>
          <t>Accounts</t>
        </is>
      </c>
      <c r="E12" t="inlineStr">
        <is>
          <t>Arunachalam Palaniappan</t>
        </is>
      </c>
      <c r="F12">
        <f>IF(OR('Department KPI Analytics'!$G$6="All", D12='Department KPI Analytics'!$G$6), 16, 0)</f>
        <v/>
      </c>
      <c r="G12">
        <f>SUMIFS(Raw_Attendance_Data!$S$2:$S$2, Raw_Attendance_Data!$B$2:$B$2, B12, Raw_Attendance_Data!$A$2:$A$2, 1)</f>
        <v/>
      </c>
      <c r="H12">
        <f>MAX(F12-G12, 0)</f>
        <v/>
      </c>
      <c r="I12">
        <f>IF(F12&gt;0, G12/F12, 0)</f>
        <v/>
      </c>
      <c r="J12">
        <f>COUNTIFS(Raw_Attendance_Data!$B$2:$B$2, B12, Raw_Attendance_Data!$A$2:$A$2, 1, Raw_Attendance_Data!$Q$2:$Q$2, 1)</f>
        <v/>
      </c>
      <c r="K12">
        <f>COUNTIFS(Raw_Attendance_Data!$B$2:$B$2, B12, Raw_Attendance_Data!$A$2:$A$2, 1)</f>
        <v/>
      </c>
      <c r="L12">
        <f>IF(K12&gt;0, J12/K12, 1.0)</f>
        <v/>
      </c>
    </row>
    <row r="13">
      <c r="A13" t="n">
        <v>8</v>
      </c>
      <c r="B13" t="inlineStr">
        <is>
          <t>013</t>
        </is>
      </c>
      <c r="C13" t="inlineStr">
        <is>
          <t>Govindammal .</t>
        </is>
      </c>
      <c r="D13" t="inlineStr">
        <is>
          <t>QA</t>
        </is>
      </c>
      <c r="E13" t="inlineStr">
        <is>
          <t>Srinivasan Beeman</t>
        </is>
      </c>
      <c r="F13">
        <f>IF(OR('Department KPI Analytics'!$G$6="All", D13='Department KPI Analytics'!$G$6), 16, 0)</f>
        <v/>
      </c>
      <c r="G13">
        <f>SUMIFS(Raw_Attendance_Data!$S$2:$S$2, Raw_Attendance_Data!$B$2:$B$2, B13, Raw_Attendance_Data!$A$2:$A$2, 1)</f>
        <v/>
      </c>
      <c r="H13">
        <f>MAX(F13-G13, 0)</f>
        <v/>
      </c>
      <c r="I13">
        <f>IF(F13&gt;0, G13/F13, 0)</f>
        <v/>
      </c>
      <c r="J13">
        <f>COUNTIFS(Raw_Attendance_Data!$B$2:$B$2, B13, Raw_Attendance_Data!$A$2:$A$2, 1, Raw_Attendance_Data!$Q$2:$Q$2, 1)</f>
        <v/>
      </c>
      <c r="K13">
        <f>COUNTIFS(Raw_Attendance_Data!$B$2:$B$2, B13, Raw_Attendance_Data!$A$2:$A$2, 1)</f>
        <v/>
      </c>
      <c r="L13">
        <f>IF(K13&gt;0, J13/K13, 1.0)</f>
        <v/>
      </c>
    </row>
    <row r="14">
      <c r="A14" t="n">
        <v>9</v>
      </c>
      <c r="B14" t="inlineStr">
        <is>
          <t>015</t>
        </is>
      </c>
      <c r="C14" t="inlineStr">
        <is>
          <t>Sangeetha Murugan</t>
        </is>
      </c>
      <c r="D14" t="inlineStr">
        <is>
          <t>QA</t>
        </is>
      </c>
      <c r="E14" t="inlineStr">
        <is>
          <t>Srinivasan Beeman</t>
        </is>
      </c>
      <c r="F14">
        <f>IF(OR('Department KPI Analytics'!$G$6="All", D14='Department KPI Analytics'!$G$6), 16, 0)</f>
        <v/>
      </c>
      <c r="G14">
        <f>SUMIFS(Raw_Attendance_Data!$S$2:$S$2, Raw_Attendance_Data!$B$2:$B$2, B14, Raw_Attendance_Data!$A$2:$A$2, 1)</f>
        <v/>
      </c>
      <c r="H14">
        <f>MAX(F14-G14, 0)</f>
        <v/>
      </c>
      <c r="I14">
        <f>IF(F14&gt;0, G14/F14, 0)</f>
        <v/>
      </c>
      <c r="J14">
        <f>COUNTIFS(Raw_Attendance_Data!$B$2:$B$2, B14, Raw_Attendance_Data!$A$2:$A$2, 1, Raw_Attendance_Data!$Q$2:$Q$2, 1)</f>
        <v/>
      </c>
      <c r="K14">
        <f>COUNTIFS(Raw_Attendance_Data!$B$2:$B$2, B14, Raw_Attendance_Data!$A$2:$A$2, 1)</f>
        <v/>
      </c>
      <c r="L14">
        <f>IF(K14&gt;0, J14/K14, 1.0)</f>
        <v/>
      </c>
    </row>
    <row r="15">
      <c r="A15" t="n">
        <v>10</v>
      </c>
      <c r="B15" t="inlineStr">
        <is>
          <t>016</t>
        </is>
      </c>
      <c r="C15" t="inlineStr">
        <is>
          <t>Gunasekaran Kaveri Setty</t>
        </is>
      </c>
      <c r="D15" t="inlineStr">
        <is>
          <t>QA</t>
        </is>
      </c>
      <c r="E15" t="inlineStr">
        <is>
          <t>Srinivasan Beeman</t>
        </is>
      </c>
      <c r="F15">
        <f>IF(OR('Department KPI Analytics'!$G$6="All", D15='Department KPI Analytics'!$G$6), 16, 0)</f>
        <v/>
      </c>
      <c r="G15">
        <f>SUMIFS(Raw_Attendance_Data!$S$2:$S$2, Raw_Attendance_Data!$B$2:$B$2, B15, Raw_Attendance_Data!$A$2:$A$2, 1)</f>
        <v/>
      </c>
      <c r="H15">
        <f>MAX(F15-G15, 0)</f>
        <v/>
      </c>
      <c r="I15">
        <f>IF(F15&gt;0, G15/F15, 0)</f>
        <v/>
      </c>
      <c r="J15">
        <f>COUNTIFS(Raw_Attendance_Data!$B$2:$B$2, B15, Raw_Attendance_Data!$A$2:$A$2, 1, Raw_Attendance_Data!$Q$2:$Q$2, 1)</f>
        <v/>
      </c>
      <c r="K15">
        <f>COUNTIFS(Raw_Attendance_Data!$B$2:$B$2, B15, Raw_Attendance_Data!$A$2:$A$2, 1)</f>
        <v/>
      </c>
      <c r="L15">
        <f>IF(K15&gt;0, J15/K15, 1.0)</f>
        <v/>
      </c>
    </row>
    <row r="16">
      <c r="A16" t="n">
        <v>11</v>
      </c>
      <c r="B16" t="inlineStr">
        <is>
          <t>017</t>
        </is>
      </c>
      <c r="C16" t="inlineStr">
        <is>
          <t>Saravana Hanumanthappa</t>
        </is>
      </c>
      <c r="D16" t="inlineStr">
        <is>
          <t>IT Support</t>
        </is>
      </c>
      <c r="E16" t="inlineStr">
        <is>
          <t>Manasa R</t>
        </is>
      </c>
      <c r="F16">
        <f>IF(OR('Department KPI Analytics'!$G$6="All", D16='Department KPI Analytics'!$G$6), 16, 0)</f>
        <v/>
      </c>
      <c r="G16">
        <f>SUMIFS(Raw_Attendance_Data!$S$2:$S$2, Raw_Attendance_Data!$B$2:$B$2, B16, Raw_Attendance_Data!$A$2:$A$2, 1)</f>
        <v/>
      </c>
      <c r="H16">
        <f>MAX(F16-G16, 0)</f>
        <v/>
      </c>
      <c r="I16">
        <f>IF(F16&gt;0, G16/F16, 0)</f>
        <v/>
      </c>
      <c r="J16">
        <f>COUNTIFS(Raw_Attendance_Data!$B$2:$B$2, B16, Raw_Attendance_Data!$A$2:$A$2, 1, Raw_Attendance_Data!$Q$2:$Q$2, 1)</f>
        <v/>
      </c>
      <c r="K16">
        <f>COUNTIFS(Raw_Attendance_Data!$B$2:$B$2, B16, Raw_Attendance_Data!$A$2:$A$2, 1)</f>
        <v/>
      </c>
      <c r="L16">
        <f>IF(K16&gt;0, J16/K16, 1.0)</f>
        <v/>
      </c>
    </row>
    <row r="17">
      <c r="A17" t="n">
        <v>12</v>
      </c>
      <c r="B17" t="inlineStr">
        <is>
          <t>018</t>
        </is>
      </c>
      <c r="C17" t="inlineStr">
        <is>
          <t>Perumal Govindharaj</t>
        </is>
      </c>
      <c r="D17" t="inlineStr">
        <is>
          <t>QA</t>
        </is>
      </c>
      <c r="E17" t="inlineStr">
        <is>
          <t>Srinivasan Beeman</t>
        </is>
      </c>
      <c r="F17">
        <f>IF(OR('Department KPI Analytics'!$G$6="All", D17='Department KPI Analytics'!$G$6), 16, 0)</f>
        <v/>
      </c>
      <c r="G17">
        <f>SUMIFS(Raw_Attendance_Data!$S$2:$S$2, Raw_Attendance_Data!$B$2:$B$2, B17, Raw_Attendance_Data!$A$2:$A$2, 1)</f>
        <v/>
      </c>
      <c r="H17">
        <f>MAX(F17-G17, 0)</f>
        <v/>
      </c>
      <c r="I17">
        <f>IF(F17&gt;0, G17/F17, 0)</f>
        <v/>
      </c>
      <c r="J17">
        <f>COUNTIFS(Raw_Attendance_Data!$B$2:$B$2, B17, Raw_Attendance_Data!$A$2:$A$2, 1, Raw_Attendance_Data!$Q$2:$Q$2, 1)</f>
        <v/>
      </c>
      <c r="K17">
        <f>COUNTIFS(Raw_Attendance_Data!$B$2:$B$2, B17, Raw_Attendance_Data!$A$2:$A$2, 1)</f>
        <v/>
      </c>
      <c r="L17">
        <f>IF(K17&gt;0, J17/K17, 1.0)</f>
        <v/>
      </c>
    </row>
    <row r="18">
      <c r="A18" t="n">
        <v>13</v>
      </c>
      <c r="B18" t="inlineStr">
        <is>
          <t>020</t>
        </is>
      </c>
      <c r="C18" t="inlineStr">
        <is>
          <t>Yuvaraj Vijayan</t>
        </is>
      </c>
      <c r="D18" t="inlineStr">
        <is>
          <t>QA</t>
        </is>
      </c>
      <c r="E18" t="inlineStr">
        <is>
          <t>Srinivasan Beeman</t>
        </is>
      </c>
      <c r="F18">
        <f>IF(OR('Department KPI Analytics'!$G$6="All", D18='Department KPI Analytics'!$G$6), 16, 0)</f>
        <v/>
      </c>
      <c r="G18">
        <f>SUMIFS(Raw_Attendance_Data!$S$2:$S$2, Raw_Attendance_Data!$B$2:$B$2, B18, Raw_Attendance_Data!$A$2:$A$2, 1)</f>
        <v/>
      </c>
      <c r="H18">
        <f>MAX(F18-G18, 0)</f>
        <v/>
      </c>
      <c r="I18">
        <f>IF(F18&gt;0, G18/F18, 0)</f>
        <v/>
      </c>
      <c r="J18">
        <f>COUNTIFS(Raw_Attendance_Data!$B$2:$B$2, B18, Raw_Attendance_Data!$A$2:$A$2, 1, Raw_Attendance_Data!$Q$2:$Q$2, 1)</f>
        <v/>
      </c>
      <c r="K18">
        <f>COUNTIFS(Raw_Attendance_Data!$B$2:$B$2, B18, Raw_Attendance_Data!$A$2:$A$2, 1)</f>
        <v/>
      </c>
      <c r="L18">
        <f>IF(K18&gt;0, J18/K18, 1.0)</f>
        <v/>
      </c>
    </row>
    <row r="19">
      <c r="A19" t="n">
        <v>14</v>
      </c>
      <c r="B19" t="inlineStr">
        <is>
          <t>021</t>
        </is>
      </c>
      <c r="C19" t="inlineStr">
        <is>
          <t>C Mohankumar</t>
        </is>
      </c>
      <c r="D19" t="inlineStr">
        <is>
          <t>Maintenance</t>
        </is>
      </c>
      <c r="E19" t="inlineStr">
        <is>
          <t>Manasa R</t>
        </is>
      </c>
      <c r="F19">
        <f>IF(OR('Department KPI Analytics'!$G$6="All", D19='Department KPI Analytics'!$G$6), 16, 0)</f>
        <v/>
      </c>
      <c r="G19">
        <f>SUMIFS(Raw_Attendance_Data!$S$2:$S$2, Raw_Attendance_Data!$B$2:$B$2, B19, Raw_Attendance_Data!$A$2:$A$2, 1)</f>
        <v/>
      </c>
      <c r="H19">
        <f>MAX(F19-G19, 0)</f>
        <v/>
      </c>
      <c r="I19">
        <f>IF(F19&gt;0, G19/F19, 0)</f>
        <v/>
      </c>
      <c r="J19">
        <f>COUNTIFS(Raw_Attendance_Data!$B$2:$B$2, B19, Raw_Attendance_Data!$A$2:$A$2, 1, Raw_Attendance_Data!$Q$2:$Q$2, 1)</f>
        <v/>
      </c>
      <c r="K19">
        <f>COUNTIFS(Raw_Attendance_Data!$B$2:$B$2, B19, Raw_Attendance_Data!$A$2:$A$2, 1)</f>
        <v/>
      </c>
      <c r="L19">
        <f>IF(K19&gt;0, J19/K19, 1.0)</f>
        <v/>
      </c>
    </row>
    <row r="20">
      <c r="A20" t="n">
        <v>15</v>
      </c>
      <c r="B20" t="inlineStr">
        <is>
          <t>023</t>
        </is>
      </c>
      <c r="C20" t="inlineStr">
        <is>
          <t>Murthy K</t>
        </is>
      </c>
      <c r="D20" t="inlineStr">
        <is>
          <t>QA</t>
        </is>
      </c>
      <c r="E20" t="inlineStr">
        <is>
          <t>Srinivasan Beeman</t>
        </is>
      </c>
      <c r="F20">
        <f>IF(OR('Department KPI Analytics'!$G$6="All", D20='Department KPI Analytics'!$G$6), 16, 0)</f>
        <v/>
      </c>
      <c r="G20">
        <f>SUMIFS(Raw_Attendance_Data!$S$2:$S$2, Raw_Attendance_Data!$B$2:$B$2, B20, Raw_Attendance_Data!$A$2:$A$2, 1)</f>
        <v/>
      </c>
      <c r="H20">
        <f>MAX(F20-G20, 0)</f>
        <v/>
      </c>
      <c r="I20">
        <f>IF(F20&gt;0, G20/F20, 0)</f>
        <v/>
      </c>
      <c r="J20">
        <f>COUNTIFS(Raw_Attendance_Data!$B$2:$B$2, B20, Raw_Attendance_Data!$A$2:$A$2, 1, Raw_Attendance_Data!$Q$2:$Q$2, 1)</f>
        <v/>
      </c>
      <c r="K20">
        <f>COUNTIFS(Raw_Attendance_Data!$B$2:$B$2, B20, Raw_Attendance_Data!$A$2:$A$2, 1)</f>
        <v/>
      </c>
      <c r="L20">
        <f>IF(K20&gt;0, J20/K20, 1.0)</f>
        <v/>
      </c>
    </row>
    <row r="21">
      <c r="A21" t="n">
        <v>16</v>
      </c>
      <c r="B21" t="inlineStr">
        <is>
          <t>024</t>
        </is>
      </c>
      <c r="C21" t="inlineStr">
        <is>
          <t>M Arun</t>
        </is>
      </c>
      <c r="D21" t="inlineStr">
        <is>
          <t>QA</t>
        </is>
      </c>
      <c r="E21" t="inlineStr">
        <is>
          <t>R Rathina Kumar</t>
        </is>
      </c>
      <c r="F21">
        <f>IF(OR('Department KPI Analytics'!$G$6="All", D21='Department KPI Analytics'!$G$6), 16, 0)</f>
        <v/>
      </c>
      <c r="G21">
        <f>SUMIFS(Raw_Attendance_Data!$S$2:$S$2, Raw_Attendance_Data!$B$2:$B$2, B21, Raw_Attendance_Data!$A$2:$A$2, 1)</f>
        <v/>
      </c>
      <c r="H21">
        <f>MAX(F21-G21, 0)</f>
        <v/>
      </c>
      <c r="I21">
        <f>IF(F21&gt;0, G21/F21, 0)</f>
        <v/>
      </c>
      <c r="J21">
        <f>COUNTIFS(Raw_Attendance_Data!$B$2:$B$2, B21, Raw_Attendance_Data!$A$2:$A$2, 1, Raw_Attendance_Data!$Q$2:$Q$2, 1)</f>
        <v/>
      </c>
      <c r="K21">
        <f>COUNTIFS(Raw_Attendance_Data!$B$2:$B$2, B21, Raw_Attendance_Data!$A$2:$A$2, 1)</f>
        <v/>
      </c>
      <c r="L21">
        <f>IF(K21&gt;0, J21/K21, 1.0)</f>
        <v/>
      </c>
    </row>
    <row r="22">
      <c r="A22" t="n">
        <v>17</v>
      </c>
      <c r="B22" t="inlineStr">
        <is>
          <t>025</t>
        </is>
      </c>
      <c r="C22" t="inlineStr">
        <is>
          <t>Nandhakumar G</t>
        </is>
      </c>
      <c r="D22" t="inlineStr">
        <is>
          <t>NPD</t>
        </is>
      </c>
      <c r="E22" t="inlineStr">
        <is>
          <t>Naveenkumar M</t>
        </is>
      </c>
      <c r="F22">
        <f>IF(OR('Department KPI Analytics'!$G$6="All", D22='Department KPI Analytics'!$G$6), 16, 0)</f>
        <v/>
      </c>
      <c r="G22">
        <f>SUMIFS(Raw_Attendance_Data!$S$2:$S$2, Raw_Attendance_Data!$B$2:$B$2, B22, Raw_Attendance_Data!$A$2:$A$2, 1)</f>
        <v/>
      </c>
      <c r="H22">
        <f>MAX(F22-G22, 0)</f>
        <v/>
      </c>
      <c r="I22">
        <f>IF(F22&gt;0, G22/F22, 0)</f>
        <v/>
      </c>
      <c r="J22">
        <f>COUNTIFS(Raw_Attendance_Data!$B$2:$B$2, B22, Raw_Attendance_Data!$A$2:$A$2, 1, Raw_Attendance_Data!$Q$2:$Q$2, 1)</f>
        <v/>
      </c>
      <c r="K22">
        <f>COUNTIFS(Raw_Attendance_Data!$B$2:$B$2, B22, Raw_Attendance_Data!$A$2:$A$2, 1)</f>
        <v/>
      </c>
      <c r="L22">
        <f>IF(K22&gt;0, J22/K22, 1.0)</f>
        <v/>
      </c>
    </row>
    <row r="23">
      <c r="A23" t="n">
        <v>18</v>
      </c>
      <c r="B23" t="inlineStr">
        <is>
          <t>026</t>
        </is>
      </c>
      <c r="C23" t="inlineStr">
        <is>
          <t>Surya P</t>
        </is>
      </c>
      <c r="D23" t="inlineStr">
        <is>
          <t>QA</t>
        </is>
      </c>
      <c r="E23" t="inlineStr">
        <is>
          <t>Srinivasan Beeman</t>
        </is>
      </c>
      <c r="F23">
        <f>IF(OR('Department KPI Analytics'!$G$6="All", D23='Department KPI Analytics'!$G$6), 16, 0)</f>
        <v/>
      </c>
      <c r="G23">
        <f>SUMIFS(Raw_Attendance_Data!$S$2:$S$2, Raw_Attendance_Data!$B$2:$B$2, B23, Raw_Attendance_Data!$A$2:$A$2, 1)</f>
        <v/>
      </c>
      <c r="H23">
        <f>MAX(F23-G23, 0)</f>
        <v/>
      </c>
      <c r="I23">
        <f>IF(F23&gt;0, G23/F23, 0)</f>
        <v/>
      </c>
      <c r="J23">
        <f>COUNTIFS(Raw_Attendance_Data!$B$2:$B$2, B23, Raw_Attendance_Data!$A$2:$A$2, 1, Raw_Attendance_Data!$Q$2:$Q$2, 1)</f>
        <v/>
      </c>
      <c r="K23">
        <f>COUNTIFS(Raw_Attendance_Data!$B$2:$B$2, B23, Raw_Attendance_Data!$A$2:$A$2, 1)</f>
        <v/>
      </c>
      <c r="L23">
        <f>IF(K23&gt;0, J23/K23, 1.0)</f>
        <v/>
      </c>
    </row>
    <row r="24">
      <c r="A24" t="n">
        <v>19</v>
      </c>
      <c r="B24" t="inlineStr">
        <is>
          <t>028</t>
        </is>
      </c>
      <c r="C24" t="inlineStr">
        <is>
          <t>Saranya Kuppan</t>
        </is>
      </c>
      <c r="D24" t="inlineStr">
        <is>
          <t>QA</t>
        </is>
      </c>
      <c r="E24" t="inlineStr">
        <is>
          <t>Srinivasan Beeman</t>
        </is>
      </c>
      <c r="F24">
        <f>IF(OR('Department KPI Analytics'!$G$6="All", D24='Department KPI Analytics'!$G$6), 16, 0)</f>
        <v/>
      </c>
      <c r="G24">
        <f>SUMIFS(Raw_Attendance_Data!$S$2:$S$2, Raw_Attendance_Data!$B$2:$B$2, B24, Raw_Attendance_Data!$A$2:$A$2, 1)</f>
        <v/>
      </c>
      <c r="H24">
        <f>MAX(F24-G24, 0)</f>
        <v/>
      </c>
      <c r="I24">
        <f>IF(F24&gt;0, G24/F24, 0)</f>
        <v/>
      </c>
      <c r="J24">
        <f>COUNTIFS(Raw_Attendance_Data!$B$2:$B$2, B24, Raw_Attendance_Data!$A$2:$A$2, 1, Raw_Attendance_Data!$Q$2:$Q$2, 1)</f>
        <v/>
      </c>
      <c r="K24">
        <f>COUNTIFS(Raw_Attendance_Data!$B$2:$B$2, B24, Raw_Attendance_Data!$A$2:$A$2, 1)</f>
        <v/>
      </c>
      <c r="L24">
        <f>IF(K24&gt;0, J24/K24, 1.0)</f>
        <v/>
      </c>
    </row>
    <row r="25">
      <c r="A25" t="n">
        <v>20</v>
      </c>
      <c r="B25" t="inlineStr">
        <is>
          <t>029</t>
        </is>
      </c>
      <c r="C25" t="inlineStr">
        <is>
          <t>Jayesh Nitin Patel</t>
        </is>
      </c>
      <c r="D25" t="inlineStr">
        <is>
          <t>Accounts</t>
        </is>
      </c>
      <c r="E25" t="inlineStr">
        <is>
          <t>Arunachalam Palaniappan</t>
        </is>
      </c>
      <c r="F25">
        <f>IF(OR('Department KPI Analytics'!$G$6="All", D25='Department KPI Analytics'!$G$6), 16, 0)</f>
        <v/>
      </c>
      <c r="G25">
        <f>SUMIFS(Raw_Attendance_Data!$S$2:$S$2, Raw_Attendance_Data!$B$2:$B$2, B25, Raw_Attendance_Data!$A$2:$A$2, 1)</f>
        <v/>
      </c>
      <c r="H25">
        <f>MAX(F25-G25, 0)</f>
        <v/>
      </c>
      <c r="I25">
        <f>IF(F25&gt;0, G25/F25, 0)</f>
        <v/>
      </c>
      <c r="J25">
        <f>COUNTIFS(Raw_Attendance_Data!$B$2:$B$2, B25, Raw_Attendance_Data!$A$2:$A$2, 1, Raw_Attendance_Data!$Q$2:$Q$2, 1)</f>
        <v/>
      </c>
      <c r="K25">
        <f>COUNTIFS(Raw_Attendance_Data!$B$2:$B$2, B25, Raw_Attendance_Data!$A$2:$A$2, 1)</f>
        <v/>
      </c>
      <c r="L25">
        <f>IF(K25&gt;0, J25/K25, 1.0)</f>
        <v/>
      </c>
    </row>
    <row r="26">
      <c r="A26" t="n">
        <v>21</v>
      </c>
      <c r="B26" t="inlineStr">
        <is>
          <t>100</t>
        </is>
      </c>
      <c r="C26" t="inlineStr">
        <is>
          <t>Nagaraju K</t>
        </is>
      </c>
      <c r="D26" t="inlineStr">
        <is>
          <t>QA</t>
        </is>
      </c>
      <c r="E26" t="inlineStr">
        <is>
          <t>Srinivasan Beeman</t>
        </is>
      </c>
      <c r="F26">
        <f>IF(OR('Department KPI Analytics'!$G$6="All", D26='Department KPI Analytics'!$G$6), 16, 0)</f>
        <v/>
      </c>
      <c r="G26">
        <f>SUMIFS(Raw_Attendance_Data!$S$2:$S$2, Raw_Attendance_Data!$B$2:$B$2, B26, Raw_Attendance_Data!$A$2:$A$2, 1)</f>
        <v/>
      </c>
      <c r="H26">
        <f>MAX(F26-G26, 0)</f>
        <v/>
      </c>
      <c r="I26">
        <f>IF(F26&gt;0, G26/F26, 0)</f>
        <v/>
      </c>
      <c r="J26">
        <f>COUNTIFS(Raw_Attendance_Data!$B$2:$B$2, B26, Raw_Attendance_Data!$A$2:$A$2, 1, Raw_Attendance_Data!$Q$2:$Q$2, 1)</f>
        <v/>
      </c>
      <c r="K26">
        <f>COUNTIFS(Raw_Attendance_Data!$B$2:$B$2, B26, Raw_Attendance_Data!$A$2:$A$2, 1)</f>
        <v/>
      </c>
      <c r="L26">
        <f>IF(K26&gt;0, J26/K26, 1.0)</f>
        <v/>
      </c>
    </row>
    <row r="27">
      <c r="A27" t="n">
        <v>22</v>
      </c>
      <c r="B27" t="inlineStr">
        <is>
          <t>103</t>
        </is>
      </c>
      <c r="C27" t="inlineStr">
        <is>
          <t>Suresh Muniyappan</t>
        </is>
      </c>
      <c r="D27" t="inlineStr">
        <is>
          <t>QA</t>
        </is>
      </c>
      <c r="E27" t="inlineStr">
        <is>
          <t>Srinivasan Beeman</t>
        </is>
      </c>
      <c r="F27">
        <f>IF(OR('Department KPI Analytics'!$G$6="All", D27='Department KPI Analytics'!$G$6), 16, 0)</f>
        <v/>
      </c>
      <c r="G27">
        <f>SUMIFS(Raw_Attendance_Data!$S$2:$S$2, Raw_Attendance_Data!$B$2:$B$2, B27, Raw_Attendance_Data!$A$2:$A$2, 1)</f>
        <v/>
      </c>
      <c r="H27">
        <f>MAX(F27-G27, 0)</f>
        <v/>
      </c>
      <c r="I27">
        <f>IF(F27&gt;0, G27/F27, 0)</f>
        <v/>
      </c>
      <c r="J27">
        <f>COUNTIFS(Raw_Attendance_Data!$B$2:$B$2, B27, Raw_Attendance_Data!$A$2:$A$2, 1, Raw_Attendance_Data!$Q$2:$Q$2, 1)</f>
        <v/>
      </c>
      <c r="K27">
        <f>COUNTIFS(Raw_Attendance_Data!$B$2:$B$2, B27, Raw_Attendance_Data!$A$2:$A$2, 1)</f>
        <v/>
      </c>
      <c r="L27">
        <f>IF(K27&gt;0, J27/K27, 1.0)</f>
        <v/>
      </c>
    </row>
    <row r="28">
      <c r="A28" t="n">
        <v>23</v>
      </c>
      <c r="B28" t="inlineStr">
        <is>
          <t>104</t>
        </is>
      </c>
      <c r="C28" t="inlineStr">
        <is>
          <t>Naveenkumar Suresh</t>
        </is>
      </c>
      <c r="D28" t="inlineStr">
        <is>
          <t>NPD</t>
        </is>
      </c>
      <c r="E28" t="inlineStr">
        <is>
          <t>Prakash Padukhone Muthiah</t>
        </is>
      </c>
      <c r="F28">
        <f>IF(OR('Department KPI Analytics'!$G$6="All", D28='Department KPI Analytics'!$G$6), 16, 0)</f>
        <v/>
      </c>
      <c r="G28">
        <f>SUMIFS(Raw_Attendance_Data!$S$2:$S$2, Raw_Attendance_Data!$B$2:$B$2, B28, Raw_Attendance_Data!$A$2:$A$2, 1)</f>
        <v/>
      </c>
      <c r="H28">
        <f>MAX(F28-G28, 0)</f>
        <v/>
      </c>
      <c r="I28">
        <f>IF(F28&gt;0, G28/F28, 0)</f>
        <v/>
      </c>
      <c r="J28">
        <f>COUNTIFS(Raw_Attendance_Data!$B$2:$B$2, B28, Raw_Attendance_Data!$A$2:$A$2, 1, Raw_Attendance_Data!$Q$2:$Q$2, 1)</f>
        <v/>
      </c>
      <c r="K28">
        <f>COUNTIFS(Raw_Attendance_Data!$B$2:$B$2, B28, Raw_Attendance_Data!$A$2:$A$2, 1)</f>
        <v/>
      </c>
      <c r="L28">
        <f>IF(K28&gt;0, J28/K28, 1.0)</f>
        <v/>
      </c>
    </row>
    <row r="29">
      <c r="A29" t="n">
        <v>24</v>
      </c>
      <c r="B29" t="inlineStr">
        <is>
          <t>106</t>
        </is>
      </c>
      <c r="C29" t="inlineStr">
        <is>
          <t>Nikhil Rajesh Shah</t>
        </is>
      </c>
      <c r="D29" t="inlineStr">
        <is>
          <t>Sourcing</t>
        </is>
      </c>
      <c r="E29" t="inlineStr">
        <is>
          <t>Vinit Praful Karia</t>
        </is>
      </c>
      <c r="F29">
        <f>IF(OR('Department KPI Analytics'!$G$6="All", D29='Department KPI Analytics'!$G$6), 16, 0)</f>
        <v/>
      </c>
      <c r="G29">
        <f>SUMIFS(Raw_Attendance_Data!$S$2:$S$2, Raw_Attendance_Data!$B$2:$B$2, B29, Raw_Attendance_Data!$A$2:$A$2, 1)</f>
        <v/>
      </c>
      <c r="H29">
        <f>MAX(F29-G29, 0)</f>
        <v/>
      </c>
      <c r="I29">
        <f>IF(F29&gt;0, G29/F29, 0)</f>
        <v/>
      </c>
      <c r="J29">
        <f>COUNTIFS(Raw_Attendance_Data!$B$2:$B$2, B29, Raw_Attendance_Data!$A$2:$A$2, 1, Raw_Attendance_Data!$Q$2:$Q$2, 1)</f>
        <v/>
      </c>
      <c r="K29">
        <f>COUNTIFS(Raw_Attendance_Data!$B$2:$B$2, B29, Raw_Attendance_Data!$A$2:$A$2, 1)</f>
        <v/>
      </c>
      <c r="L29">
        <f>IF(K29&gt;0, J29/K29, 1.0)</f>
        <v/>
      </c>
    </row>
    <row r="30">
      <c r="A30" t="n">
        <v>25</v>
      </c>
      <c r="B30" t="inlineStr">
        <is>
          <t>108</t>
        </is>
      </c>
      <c r="C30" t="inlineStr">
        <is>
          <t>Ramani Balan</t>
        </is>
      </c>
      <c r="D30" t="inlineStr">
        <is>
          <t>Casting</t>
        </is>
      </c>
      <c r="E30" t="inlineStr">
        <is>
          <t>R Rathina Kumar</t>
        </is>
      </c>
      <c r="F30">
        <f>IF(OR('Department KPI Analytics'!$G$6="All", D30='Department KPI Analytics'!$G$6), 16, 0)</f>
        <v/>
      </c>
      <c r="G30">
        <f>SUMIFS(Raw_Attendance_Data!$S$2:$S$2, Raw_Attendance_Data!$B$2:$B$2, B30, Raw_Attendance_Data!$A$2:$A$2, 1)</f>
        <v/>
      </c>
      <c r="H30">
        <f>MAX(F30-G30, 0)</f>
        <v/>
      </c>
      <c r="I30">
        <f>IF(F30&gt;0, G30/F30, 0)</f>
        <v/>
      </c>
      <c r="J30">
        <f>COUNTIFS(Raw_Attendance_Data!$B$2:$B$2, B30, Raw_Attendance_Data!$A$2:$A$2, 1, Raw_Attendance_Data!$Q$2:$Q$2, 1)</f>
        <v/>
      </c>
      <c r="K30">
        <f>COUNTIFS(Raw_Attendance_Data!$B$2:$B$2, B30, Raw_Attendance_Data!$A$2:$A$2, 1)</f>
        <v/>
      </c>
      <c r="L30">
        <f>IF(K30&gt;0, J30/K30, 1.0)</f>
        <v/>
      </c>
    </row>
    <row r="31">
      <c r="A31" t="n">
        <v>26</v>
      </c>
      <c r="B31" t="inlineStr">
        <is>
          <t>109</t>
        </is>
      </c>
      <c r="C31" t="inlineStr">
        <is>
          <t>Poovarasan S</t>
        </is>
      </c>
      <c r="D31" t="inlineStr">
        <is>
          <t>QA</t>
        </is>
      </c>
      <c r="E31" t="inlineStr">
        <is>
          <t>Srinivasan Beeman</t>
        </is>
      </c>
      <c r="F31">
        <f>IF(OR('Department KPI Analytics'!$G$6="All", D31='Department KPI Analytics'!$G$6), 16, 0)</f>
        <v/>
      </c>
      <c r="G31">
        <f>SUMIFS(Raw_Attendance_Data!$S$2:$S$2, Raw_Attendance_Data!$B$2:$B$2, B31, Raw_Attendance_Data!$A$2:$A$2, 1)</f>
        <v/>
      </c>
      <c r="H31">
        <f>MAX(F31-G31, 0)</f>
        <v/>
      </c>
      <c r="I31">
        <f>IF(F31&gt;0, G31/F31, 0)</f>
        <v/>
      </c>
      <c r="J31">
        <f>COUNTIFS(Raw_Attendance_Data!$B$2:$B$2, B31, Raw_Attendance_Data!$A$2:$A$2, 1, Raw_Attendance_Data!$Q$2:$Q$2, 1)</f>
        <v/>
      </c>
      <c r="K31">
        <f>COUNTIFS(Raw_Attendance_Data!$B$2:$B$2, B31, Raw_Attendance_Data!$A$2:$A$2, 1)</f>
        <v/>
      </c>
      <c r="L31">
        <f>IF(K31&gt;0, J31/K31, 1.0)</f>
        <v/>
      </c>
    </row>
    <row r="32">
      <c r="A32" t="n">
        <v>27</v>
      </c>
      <c r="B32" t="inlineStr">
        <is>
          <t>11</t>
        </is>
      </c>
      <c r="C32" t="inlineStr">
        <is>
          <t>Rajeshwari Ganeshkumar</t>
        </is>
      </c>
      <c r="D32" t="inlineStr">
        <is>
          <t>Commercial</t>
        </is>
      </c>
      <c r="E32" t="inlineStr">
        <is>
          <t>Prakash Padukhone Muthiah</t>
        </is>
      </c>
      <c r="F32">
        <f>IF(OR('Department KPI Analytics'!$G$6="All", D32='Department KPI Analytics'!$G$6), 16, 0)</f>
        <v/>
      </c>
      <c r="G32">
        <f>SUMIFS(Raw_Attendance_Data!$S$2:$S$2, Raw_Attendance_Data!$B$2:$B$2, B32, Raw_Attendance_Data!$A$2:$A$2, 1)</f>
        <v/>
      </c>
      <c r="H32">
        <f>MAX(F32-G32, 0)</f>
        <v/>
      </c>
      <c r="I32">
        <f>IF(F32&gt;0, G32/F32, 0)</f>
        <v/>
      </c>
      <c r="J32">
        <f>COUNTIFS(Raw_Attendance_Data!$B$2:$B$2, B32, Raw_Attendance_Data!$A$2:$A$2, 1, Raw_Attendance_Data!$Q$2:$Q$2, 1)</f>
        <v/>
      </c>
      <c r="K32">
        <f>COUNTIFS(Raw_Attendance_Data!$B$2:$B$2, B32, Raw_Attendance_Data!$A$2:$A$2, 1)</f>
        <v/>
      </c>
      <c r="L32">
        <f>IF(K32&gt;0, J32/K32, 1.0)</f>
        <v/>
      </c>
    </row>
    <row r="33">
      <c r="A33" t="n">
        <v>28</v>
      </c>
      <c r="B33" t="inlineStr">
        <is>
          <t>110</t>
        </is>
      </c>
      <c r="C33" t="inlineStr">
        <is>
          <t>Savaliya Nishant Popatbhai</t>
        </is>
      </c>
      <c r="D33" t="inlineStr">
        <is>
          <t>QA</t>
        </is>
      </c>
      <c r="E33" t="inlineStr">
        <is>
          <t>Vinit Praful Karia</t>
        </is>
      </c>
      <c r="F33">
        <f>IF(OR('Department KPI Analytics'!$G$6="All", D33='Department KPI Analytics'!$G$6), 16, 0)</f>
        <v/>
      </c>
      <c r="G33">
        <f>SUMIFS(Raw_Attendance_Data!$S$2:$S$2, Raw_Attendance_Data!$B$2:$B$2, B33, Raw_Attendance_Data!$A$2:$A$2, 1)</f>
        <v/>
      </c>
      <c r="H33">
        <f>MAX(F33-G33, 0)</f>
        <v/>
      </c>
      <c r="I33">
        <f>IF(F33&gt;0, G33/F33, 0)</f>
        <v/>
      </c>
      <c r="J33">
        <f>COUNTIFS(Raw_Attendance_Data!$B$2:$B$2, B33, Raw_Attendance_Data!$A$2:$A$2, 1, Raw_Attendance_Data!$Q$2:$Q$2, 1)</f>
        <v/>
      </c>
      <c r="K33">
        <f>COUNTIFS(Raw_Attendance_Data!$B$2:$B$2, B33, Raw_Attendance_Data!$A$2:$A$2, 1)</f>
        <v/>
      </c>
      <c r="L33">
        <f>IF(K33&gt;0, J33/K33, 1.0)</f>
        <v/>
      </c>
    </row>
    <row r="34">
      <c r="A34" t="n">
        <v>29</v>
      </c>
      <c r="B34" t="inlineStr">
        <is>
          <t>111</t>
        </is>
      </c>
      <c r="C34" t="inlineStr">
        <is>
          <t>Geetha Gowthaman</t>
        </is>
      </c>
      <c r="D34" t="inlineStr">
        <is>
          <t>NPD</t>
        </is>
      </c>
      <c r="E34" t="inlineStr">
        <is>
          <t>R Rathina Kumar</t>
        </is>
      </c>
      <c r="F34">
        <f>IF(OR('Department KPI Analytics'!$G$6="All", D34='Department KPI Analytics'!$G$6), 16, 0)</f>
        <v/>
      </c>
      <c r="G34">
        <f>SUMIFS(Raw_Attendance_Data!$S$2:$S$2, Raw_Attendance_Data!$B$2:$B$2, B34, Raw_Attendance_Data!$A$2:$A$2, 1)</f>
        <v/>
      </c>
      <c r="H34">
        <f>MAX(F34-G34, 0)</f>
        <v/>
      </c>
      <c r="I34">
        <f>IF(F34&gt;0, G34/F34, 0)</f>
        <v/>
      </c>
      <c r="J34">
        <f>COUNTIFS(Raw_Attendance_Data!$B$2:$B$2, B34, Raw_Attendance_Data!$A$2:$A$2, 1, Raw_Attendance_Data!$Q$2:$Q$2, 1)</f>
        <v/>
      </c>
      <c r="K34">
        <f>COUNTIFS(Raw_Attendance_Data!$B$2:$B$2, B34, Raw_Attendance_Data!$A$2:$A$2, 1)</f>
        <v/>
      </c>
      <c r="L34">
        <f>IF(K34&gt;0, J34/K34, 1.0)</f>
        <v/>
      </c>
    </row>
    <row r="35">
      <c r="A35" t="n">
        <v>30</v>
      </c>
      <c r="B35" t="inlineStr">
        <is>
          <t>12</t>
        </is>
      </c>
      <c r="C35" t="inlineStr">
        <is>
          <t>Nandinee Kapilesh sharma</t>
        </is>
      </c>
      <c r="D35" t="inlineStr">
        <is>
          <t>Accounts</t>
        </is>
      </c>
      <c r="E35" t="inlineStr">
        <is>
          <t>Team Manager</t>
        </is>
      </c>
      <c r="F35">
        <f>IF(OR('Department KPI Analytics'!$G$6="All", D35='Department KPI Analytics'!$G$6), 16, 0)</f>
        <v/>
      </c>
      <c r="G35">
        <f>SUMIFS(Raw_Attendance_Data!$S$2:$S$2, Raw_Attendance_Data!$B$2:$B$2, B35, Raw_Attendance_Data!$A$2:$A$2, 1)</f>
        <v/>
      </c>
      <c r="H35">
        <f>MAX(F35-G35, 0)</f>
        <v/>
      </c>
      <c r="I35">
        <f>IF(F35&gt;0, G35/F35, 0)</f>
        <v/>
      </c>
      <c r="J35">
        <f>COUNTIFS(Raw_Attendance_Data!$B$2:$B$2, B35, Raw_Attendance_Data!$A$2:$A$2, 1, Raw_Attendance_Data!$Q$2:$Q$2, 1)</f>
        <v/>
      </c>
      <c r="K35">
        <f>COUNTIFS(Raw_Attendance_Data!$B$2:$B$2, B35, Raw_Attendance_Data!$A$2:$A$2, 1)</f>
        <v/>
      </c>
      <c r="L35">
        <f>IF(K35&gt;0, J35/K35, 1.0)</f>
        <v/>
      </c>
    </row>
    <row r="36">
      <c r="A36" t="n">
        <v>31</v>
      </c>
      <c r="B36" t="inlineStr">
        <is>
          <t>13</t>
        </is>
      </c>
      <c r="C36" t="inlineStr">
        <is>
          <t>Srinivasan Beeman</t>
        </is>
      </c>
      <c r="D36" t="inlineStr">
        <is>
          <t>QA</t>
        </is>
      </c>
      <c r="E36" t="inlineStr">
        <is>
          <t>Prakash Padukhone Muthiah</t>
        </is>
      </c>
      <c r="F36">
        <f>IF(OR('Department KPI Analytics'!$G$6="All", D36='Department KPI Analytics'!$G$6), 16, 0)</f>
        <v/>
      </c>
      <c r="G36">
        <f>SUMIFS(Raw_Attendance_Data!$S$2:$S$2, Raw_Attendance_Data!$B$2:$B$2, B36, Raw_Attendance_Data!$A$2:$A$2, 1)</f>
        <v/>
      </c>
      <c r="H36">
        <f>MAX(F36-G36, 0)</f>
        <v/>
      </c>
      <c r="I36">
        <f>IF(F36&gt;0, G36/F36, 0)</f>
        <v/>
      </c>
      <c r="J36">
        <f>COUNTIFS(Raw_Attendance_Data!$B$2:$B$2, B36, Raw_Attendance_Data!$A$2:$A$2, 1, Raw_Attendance_Data!$Q$2:$Q$2, 1)</f>
        <v/>
      </c>
      <c r="K36">
        <f>COUNTIFS(Raw_Attendance_Data!$B$2:$B$2, B36, Raw_Attendance_Data!$A$2:$A$2, 1)</f>
        <v/>
      </c>
      <c r="L36">
        <f>IF(K36&gt;0, J36/K36, 1.0)</f>
        <v/>
      </c>
    </row>
    <row r="37">
      <c r="A37" t="n">
        <v>32</v>
      </c>
      <c r="B37" t="inlineStr">
        <is>
          <t>15</t>
        </is>
      </c>
      <c r="C37" t="inlineStr">
        <is>
          <t>Sathishkumar Govindarajan</t>
        </is>
      </c>
      <c r="D37" t="inlineStr">
        <is>
          <t>Sourcing</t>
        </is>
      </c>
      <c r="E37" t="inlineStr">
        <is>
          <t>Anil Kumar Joshi</t>
        </is>
      </c>
      <c r="F37">
        <f>IF(OR('Department KPI Analytics'!$G$6="All", D37='Department KPI Analytics'!$G$6), 16, 0)</f>
        <v/>
      </c>
      <c r="G37">
        <f>SUMIFS(Raw_Attendance_Data!$S$2:$S$2, Raw_Attendance_Data!$B$2:$B$2, B37, Raw_Attendance_Data!$A$2:$A$2, 1)</f>
        <v/>
      </c>
      <c r="H37">
        <f>MAX(F37-G37, 0)</f>
        <v/>
      </c>
      <c r="I37">
        <f>IF(F37&gt;0, G37/F37, 0)</f>
        <v/>
      </c>
      <c r="J37">
        <f>COUNTIFS(Raw_Attendance_Data!$B$2:$B$2, B37, Raw_Attendance_Data!$A$2:$A$2, 1, Raw_Attendance_Data!$Q$2:$Q$2, 1)</f>
        <v/>
      </c>
      <c r="K37">
        <f>COUNTIFS(Raw_Attendance_Data!$B$2:$B$2, B37, Raw_Attendance_Data!$A$2:$A$2, 1)</f>
        <v/>
      </c>
      <c r="L37">
        <f>IF(K37&gt;0, J37/K37, 1.0)</f>
        <v/>
      </c>
    </row>
    <row r="38">
      <c r="A38" t="n">
        <v>33</v>
      </c>
      <c r="B38" t="inlineStr">
        <is>
          <t>16</t>
        </is>
      </c>
      <c r="C38" t="inlineStr">
        <is>
          <t>Kadiraysh S</t>
        </is>
      </c>
      <c r="D38" t="inlineStr">
        <is>
          <t>QA</t>
        </is>
      </c>
      <c r="E38" t="inlineStr">
        <is>
          <t>Prakash Padukhone Muthiah</t>
        </is>
      </c>
      <c r="F38">
        <f>IF(OR('Department KPI Analytics'!$G$6="All", D38='Department KPI Analytics'!$G$6), 16, 0)</f>
        <v/>
      </c>
      <c r="G38">
        <f>SUMIFS(Raw_Attendance_Data!$S$2:$S$2, Raw_Attendance_Data!$B$2:$B$2, B38, Raw_Attendance_Data!$A$2:$A$2, 1)</f>
        <v/>
      </c>
      <c r="H38">
        <f>MAX(F38-G38, 0)</f>
        <v/>
      </c>
      <c r="I38">
        <f>IF(F38&gt;0, G38/F38, 0)</f>
        <v/>
      </c>
      <c r="J38">
        <f>COUNTIFS(Raw_Attendance_Data!$B$2:$B$2, B38, Raw_Attendance_Data!$A$2:$A$2, 1, Raw_Attendance_Data!$Q$2:$Q$2, 1)</f>
        <v/>
      </c>
      <c r="K38">
        <f>COUNTIFS(Raw_Attendance_Data!$B$2:$B$2, B38, Raw_Attendance_Data!$A$2:$A$2, 1)</f>
        <v/>
      </c>
      <c r="L38">
        <f>IF(K38&gt;0, J38/K38, 1.0)</f>
        <v/>
      </c>
    </row>
    <row r="39">
      <c r="A39" t="n">
        <v>34</v>
      </c>
      <c r="B39" t="inlineStr">
        <is>
          <t>17</t>
        </is>
      </c>
      <c r="C39" t="inlineStr">
        <is>
          <t>Balraj .</t>
        </is>
      </c>
      <c r="D39" t="inlineStr">
        <is>
          <t>QA</t>
        </is>
      </c>
      <c r="E39" t="inlineStr">
        <is>
          <t>Srinivasan Beeman</t>
        </is>
      </c>
      <c r="F39">
        <f>IF(OR('Department KPI Analytics'!$G$6="All", D39='Department KPI Analytics'!$G$6), 16, 0)</f>
        <v/>
      </c>
      <c r="G39">
        <f>SUMIFS(Raw_Attendance_Data!$S$2:$S$2, Raw_Attendance_Data!$B$2:$B$2, B39, Raw_Attendance_Data!$A$2:$A$2, 1)</f>
        <v/>
      </c>
      <c r="H39">
        <f>MAX(F39-G39, 0)</f>
        <v/>
      </c>
      <c r="I39">
        <f>IF(F39&gt;0, G39/F39, 0)</f>
        <v/>
      </c>
      <c r="J39">
        <f>COUNTIFS(Raw_Attendance_Data!$B$2:$B$2, B39, Raw_Attendance_Data!$A$2:$A$2, 1, Raw_Attendance_Data!$Q$2:$Q$2, 1)</f>
        <v/>
      </c>
      <c r="K39">
        <f>COUNTIFS(Raw_Attendance_Data!$B$2:$B$2, B39, Raw_Attendance_Data!$A$2:$A$2, 1)</f>
        <v/>
      </c>
      <c r="L39">
        <f>IF(K39&gt;0, J39/K39, 1.0)</f>
        <v/>
      </c>
    </row>
    <row r="40">
      <c r="A40" t="n">
        <v>35</v>
      </c>
      <c r="B40" t="inlineStr">
        <is>
          <t>20</t>
        </is>
      </c>
      <c r="C40" t="inlineStr">
        <is>
          <t>Kumaresh B</t>
        </is>
      </c>
      <c r="D40" t="inlineStr">
        <is>
          <t>Accounts</t>
        </is>
      </c>
      <c r="E40" t="inlineStr">
        <is>
          <t>Team Manager</t>
        </is>
      </c>
      <c r="F40">
        <f>IF(OR('Department KPI Analytics'!$G$6="All", D40='Department KPI Analytics'!$G$6), 16, 0)</f>
        <v/>
      </c>
      <c r="G40">
        <f>SUMIFS(Raw_Attendance_Data!$S$2:$S$2, Raw_Attendance_Data!$B$2:$B$2, B40, Raw_Attendance_Data!$A$2:$A$2, 1)</f>
        <v/>
      </c>
      <c r="H40">
        <f>MAX(F40-G40, 0)</f>
        <v/>
      </c>
      <c r="I40">
        <f>IF(F40&gt;0, G40/F40, 0)</f>
        <v/>
      </c>
      <c r="J40">
        <f>COUNTIFS(Raw_Attendance_Data!$B$2:$B$2, B40, Raw_Attendance_Data!$A$2:$A$2, 1, Raw_Attendance_Data!$Q$2:$Q$2, 1)</f>
        <v/>
      </c>
      <c r="K40">
        <f>COUNTIFS(Raw_Attendance_Data!$B$2:$B$2, B40, Raw_Attendance_Data!$A$2:$A$2, 1)</f>
        <v/>
      </c>
      <c r="L40">
        <f>IF(K40&gt;0, J40/K40, 1.0)</f>
        <v/>
      </c>
    </row>
    <row r="41">
      <c r="A41" t="n">
        <v>36</v>
      </c>
      <c r="B41" t="inlineStr">
        <is>
          <t>24</t>
        </is>
      </c>
      <c r="C41" t="inlineStr">
        <is>
          <t>Arun Kumar Murugan</t>
        </is>
      </c>
      <c r="D41" t="inlineStr">
        <is>
          <t>QA</t>
        </is>
      </c>
      <c r="E41" t="inlineStr">
        <is>
          <t>Srinivasan Beeman</t>
        </is>
      </c>
      <c r="F41">
        <f>IF(OR('Department KPI Analytics'!$G$6="All", D41='Department KPI Analytics'!$G$6), 16, 0)</f>
        <v/>
      </c>
      <c r="G41">
        <f>SUMIFS(Raw_Attendance_Data!$S$2:$S$2, Raw_Attendance_Data!$B$2:$B$2, B41, Raw_Attendance_Data!$A$2:$A$2, 1)</f>
        <v/>
      </c>
      <c r="H41">
        <f>MAX(F41-G41, 0)</f>
        <v/>
      </c>
      <c r="I41">
        <f>IF(F41&gt;0, G41/F41, 0)</f>
        <v/>
      </c>
      <c r="J41">
        <f>COUNTIFS(Raw_Attendance_Data!$B$2:$B$2, B41, Raw_Attendance_Data!$A$2:$A$2, 1, Raw_Attendance_Data!$Q$2:$Q$2, 1)</f>
        <v/>
      </c>
      <c r="K41">
        <f>COUNTIFS(Raw_Attendance_Data!$B$2:$B$2, B41, Raw_Attendance_Data!$A$2:$A$2, 1)</f>
        <v/>
      </c>
      <c r="L41">
        <f>IF(K41&gt;0, J41/K41, 1.0)</f>
        <v/>
      </c>
    </row>
    <row r="42">
      <c r="A42" t="n">
        <v>37</v>
      </c>
      <c r="B42" t="inlineStr">
        <is>
          <t>29</t>
        </is>
      </c>
      <c r="C42" t="inlineStr">
        <is>
          <t>Dinesh Raja Muthulakshmanan</t>
        </is>
      </c>
      <c r="D42" t="inlineStr">
        <is>
          <t>QA</t>
        </is>
      </c>
      <c r="E42" t="inlineStr">
        <is>
          <t>Srinivasan Beeman</t>
        </is>
      </c>
      <c r="F42">
        <f>IF(OR('Department KPI Analytics'!$G$6="All", D42='Department KPI Analytics'!$G$6), 16, 0)</f>
        <v/>
      </c>
      <c r="G42">
        <f>SUMIFS(Raw_Attendance_Data!$S$2:$S$2, Raw_Attendance_Data!$B$2:$B$2, B42, Raw_Attendance_Data!$A$2:$A$2, 1)</f>
        <v/>
      </c>
      <c r="H42">
        <f>MAX(F42-G42, 0)</f>
        <v/>
      </c>
      <c r="I42">
        <f>IF(F42&gt;0, G42/F42, 0)</f>
        <v/>
      </c>
      <c r="J42">
        <f>COUNTIFS(Raw_Attendance_Data!$B$2:$B$2, B42, Raw_Attendance_Data!$A$2:$A$2, 1, Raw_Attendance_Data!$Q$2:$Q$2, 1)</f>
        <v/>
      </c>
      <c r="K42">
        <f>COUNTIFS(Raw_Attendance_Data!$B$2:$B$2, B42, Raw_Attendance_Data!$A$2:$A$2, 1)</f>
        <v/>
      </c>
      <c r="L42">
        <f>IF(K42&gt;0, J42/K42, 1.0)</f>
        <v/>
      </c>
    </row>
    <row r="43">
      <c r="A43" t="n">
        <v>38</v>
      </c>
      <c r="B43" t="inlineStr">
        <is>
          <t>32</t>
        </is>
      </c>
      <c r="C43" t="inlineStr">
        <is>
          <t>Sakthivel Muthu</t>
        </is>
      </c>
      <c r="D43" t="inlineStr">
        <is>
          <t>Stores</t>
        </is>
      </c>
      <c r="E43" t="inlineStr">
        <is>
          <t>Anil Kumar Joshi</t>
        </is>
      </c>
      <c r="F43">
        <f>IF(OR('Department KPI Analytics'!$G$6="All", D43='Department KPI Analytics'!$G$6), 16, 0)</f>
        <v/>
      </c>
      <c r="G43">
        <f>SUMIFS(Raw_Attendance_Data!$S$2:$S$2, Raw_Attendance_Data!$B$2:$B$2, B43, Raw_Attendance_Data!$A$2:$A$2, 1)</f>
        <v/>
      </c>
      <c r="H43">
        <f>MAX(F43-G43, 0)</f>
        <v/>
      </c>
      <c r="I43">
        <f>IF(F43&gt;0, G43/F43, 0)</f>
        <v/>
      </c>
      <c r="J43">
        <f>COUNTIFS(Raw_Attendance_Data!$B$2:$B$2, B43, Raw_Attendance_Data!$A$2:$A$2, 1, Raw_Attendance_Data!$Q$2:$Q$2, 1)</f>
        <v/>
      </c>
      <c r="K43">
        <f>COUNTIFS(Raw_Attendance_Data!$B$2:$B$2, B43, Raw_Attendance_Data!$A$2:$A$2, 1)</f>
        <v/>
      </c>
      <c r="L43">
        <f>IF(K43&gt;0, J43/K43, 1.0)</f>
        <v/>
      </c>
    </row>
    <row r="44">
      <c r="A44" t="n">
        <v>39</v>
      </c>
      <c r="B44" t="inlineStr">
        <is>
          <t>33</t>
        </is>
      </c>
      <c r="C44" t="inlineStr">
        <is>
          <t>Vivek R</t>
        </is>
      </c>
      <c r="D44" t="inlineStr">
        <is>
          <t>Commercial</t>
        </is>
      </c>
      <c r="E44" t="inlineStr">
        <is>
          <t>Rajeshwari Ganeshkumar</t>
        </is>
      </c>
      <c r="F44">
        <f>IF(OR('Department KPI Analytics'!$G$6="All", D44='Department KPI Analytics'!$G$6), 16, 0)</f>
        <v/>
      </c>
      <c r="G44">
        <f>SUMIFS(Raw_Attendance_Data!$S$2:$S$2, Raw_Attendance_Data!$B$2:$B$2, B44, Raw_Attendance_Data!$A$2:$A$2, 1)</f>
        <v/>
      </c>
      <c r="H44">
        <f>MAX(F44-G44, 0)</f>
        <v/>
      </c>
      <c r="I44">
        <f>IF(F44&gt;0, G44/F44, 0)</f>
        <v/>
      </c>
      <c r="J44">
        <f>COUNTIFS(Raw_Attendance_Data!$B$2:$B$2, B44, Raw_Attendance_Data!$A$2:$A$2, 1, Raw_Attendance_Data!$Q$2:$Q$2, 1)</f>
        <v/>
      </c>
      <c r="K44">
        <f>COUNTIFS(Raw_Attendance_Data!$B$2:$B$2, B44, Raw_Attendance_Data!$A$2:$A$2, 1)</f>
        <v/>
      </c>
      <c r="L44">
        <f>IF(K44&gt;0, J44/K44, 1.0)</f>
        <v/>
      </c>
    </row>
    <row r="45">
      <c r="A45" t="n">
        <v>40</v>
      </c>
      <c r="B45" t="inlineStr">
        <is>
          <t>35</t>
        </is>
      </c>
      <c r="C45" t="inlineStr">
        <is>
          <t>Manoj Mani</t>
        </is>
      </c>
      <c r="D45" t="inlineStr">
        <is>
          <t>QA</t>
        </is>
      </c>
      <c r="E45" t="inlineStr">
        <is>
          <t>Srinivasan Beeman</t>
        </is>
      </c>
      <c r="F45">
        <f>IF(OR('Department KPI Analytics'!$G$6="All", D45='Department KPI Analytics'!$G$6), 16, 0)</f>
        <v/>
      </c>
      <c r="G45">
        <f>SUMIFS(Raw_Attendance_Data!$S$2:$S$2, Raw_Attendance_Data!$B$2:$B$2, B45, Raw_Attendance_Data!$A$2:$A$2, 1)</f>
        <v/>
      </c>
      <c r="H45">
        <f>MAX(F45-G45, 0)</f>
        <v/>
      </c>
      <c r="I45">
        <f>IF(F45&gt;0, G45/F45, 0)</f>
        <v/>
      </c>
      <c r="J45">
        <f>COUNTIFS(Raw_Attendance_Data!$B$2:$B$2, B45, Raw_Attendance_Data!$A$2:$A$2, 1, Raw_Attendance_Data!$Q$2:$Q$2, 1)</f>
        <v/>
      </c>
      <c r="K45">
        <f>COUNTIFS(Raw_Attendance_Data!$B$2:$B$2, B45, Raw_Attendance_Data!$A$2:$A$2, 1)</f>
        <v/>
      </c>
      <c r="L45">
        <f>IF(K45&gt;0, J45/K45, 1.0)</f>
        <v/>
      </c>
    </row>
    <row r="46">
      <c r="A46" t="n">
        <v>41</v>
      </c>
      <c r="B46" t="inlineStr">
        <is>
          <t>37</t>
        </is>
      </c>
      <c r="C46" t="inlineStr">
        <is>
          <t>Muthukrishnan Perumal</t>
        </is>
      </c>
      <c r="D46" t="inlineStr">
        <is>
          <t>QA</t>
        </is>
      </c>
      <c r="E46" t="inlineStr">
        <is>
          <t>Nethaji Raja</t>
        </is>
      </c>
      <c r="F46">
        <f>IF(OR('Department KPI Analytics'!$G$6="All", D46='Department KPI Analytics'!$G$6), 16, 0)</f>
        <v/>
      </c>
      <c r="G46">
        <f>SUMIFS(Raw_Attendance_Data!$S$2:$S$2, Raw_Attendance_Data!$B$2:$B$2, B46, Raw_Attendance_Data!$A$2:$A$2, 1)</f>
        <v/>
      </c>
      <c r="H46">
        <f>MAX(F46-G46, 0)</f>
        <v/>
      </c>
      <c r="I46">
        <f>IF(F46&gt;0, G46/F46, 0)</f>
        <v/>
      </c>
      <c r="J46">
        <f>COUNTIFS(Raw_Attendance_Data!$B$2:$B$2, B46, Raw_Attendance_Data!$A$2:$A$2, 1, Raw_Attendance_Data!$Q$2:$Q$2, 1)</f>
        <v/>
      </c>
      <c r="K46">
        <f>COUNTIFS(Raw_Attendance_Data!$B$2:$B$2, B46, Raw_Attendance_Data!$A$2:$A$2, 1)</f>
        <v/>
      </c>
      <c r="L46">
        <f>IF(K46&gt;0, J46/K46, 1.0)</f>
        <v/>
      </c>
    </row>
    <row r="47">
      <c r="A47" t="n">
        <v>42</v>
      </c>
      <c r="B47" t="inlineStr">
        <is>
          <t>40</t>
        </is>
      </c>
      <c r="C47" t="inlineStr">
        <is>
          <t>Vinit Praful Karia</t>
        </is>
      </c>
      <c r="D47" t="inlineStr">
        <is>
          <t>Sourcing</t>
        </is>
      </c>
      <c r="E47" t="inlineStr">
        <is>
          <t>Prakash Padukhone Muthiah</t>
        </is>
      </c>
      <c r="F47">
        <f>IF(OR('Department KPI Analytics'!$G$6="All", D47='Department KPI Analytics'!$G$6), 16, 0)</f>
        <v/>
      </c>
      <c r="G47">
        <f>SUMIFS(Raw_Attendance_Data!$S$2:$S$2, Raw_Attendance_Data!$B$2:$B$2, B47, Raw_Attendance_Data!$A$2:$A$2, 1)</f>
        <v/>
      </c>
      <c r="H47">
        <f>MAX(F47-G47, 0)</f>
        <v/>
      </c>
      <c r="I47">
        <f>IF(F47&gt;0, G47/F47, 0)</f>
        <v/>
      </c>
      <c r="J47">
        <f>COUNTIFS(Raw_Attendance_Data!$B$2:$B$2, B47, Raw_Attendance_Data!$A$2:$A$2, 1, Raw_Attendance_Data!$Q$2:$Q$2, 1)</f>
        <v/>
      </c>
      <c r="K47">
        <f>COUNTIFS(Raw_Attendance_Data!$B$2:$B$2, B47, Raw_Attendance_Data!$A$2:$A$2, 1)</f>
        <v/>
      </c>
      <c r="L47">
        <f>IF(K47&gt;0, J47/K47, 1.0)</f>
        <v/>
      </c>
    </row>
    <row r="48">
      <c r="A48" t="n">
        <v>43</v>
      </c>
      <c r="B48" t="inlineStr">
        <is>
          <t>41</t>
        </is>
      </c>
      <c r="C48" t="inlineStr">
        <is>
          <t>Radhalakshmi S</t>
        </is>
      </c>
      <c r="D48" t="inlineStr">
        <is>
          <t>HR</t>
        </is>
      </c>
      <c r="E48" t="inlineStr">
        <is>
          <t>Manasa R</t>
        </is>
      </c>
      <c r="F48">
        <f>IF(OR('Department KPI Analytics'!$G$6="All", D48='Department KPI Analytics'!$G$6), 16, 0)</f>
        <v/>
      </c>
      <c r="G48">
        <f>SUMIFS(Raw_Attendance_Data!$S$2:$S$2, Raw_Attendance_Data!$B$2:$B$2, B48, Raw_Attendance_Data!$A$2:$A$2, 1)</f>
        <v/>
      </c>
      <c r="H48">
        <f>MAX(F48-G48, 0)</f>
        <v/>
      </c>
      <c r="I48">
        <f>IF(F48&gt;0, G48/F48, 0)</f>
        <v/>
      </c>
      <c r="J48">
        <f>COUNTIFS(Raw_Attendance_Data!$B$2:$B$2, B48, Raw_Attendance_Data!$A$2:$A$2, 1, Raw_Attendance_Data!$Q$2:$Q$2, 1)</f>
        <v/>
      </c>
      <c r="K48">
        <f>COUNTIFS(Raw_Attendance_Data!$B$2:$B$2, B48, Raw_Attendance_Data!$A$2:$A$2, 1)</f>
        <v/>
      </c>
      <c r="L48">
        <f>IF(K48&gt;0, J48/K48, 1.0)</f>
        <v/>
      </c>
    </row>
    <row r="49">
      <c r="A49" t="n">
        <v>44</v>
      </c>
      <c r="B49" t="inlineStr">
        <is>
          <t>42</t>
        </is>
      </c>
      <c r="C49" t="inlineStr">
        <is>
          <t>Santhoshkumar Murugan</t>
        </is>
      </c>
      <c r="D49" t="inlineStr">
        <is>
          <t>QA</t>
        </is>
      </c>
      <c r="E49" t="inlineStr">
        <is>
          <t>Srinivasan Beeman</t>
        </is>
      </c>
      <c r="F49">
        <f>IF(OR('Department KPI Analytics'!$G$6="All", D49='Department KPI Analytics'!$G$6), 16, 0)</f>
        <v/>
      </c>
      <c r="G49">
        <f>SUMIFS(Raw_Attendance_Data!$S$2:$S$2, Raw_Attendance_Data!$B$2:$B$2, B49, Raw_Attendance_Data!$A$2:$A$2, 1)</f>
        <v/>
      </c>
      <c r="H49">
        <f>MAX(F49-G49, 0)</f>
        <v/>
      </c>
      <c r="I49">
        <f>IF(F49&gt;0, G49/F49, 0)</f>
        <v/>
      </c>
      <c r="J49">
        <f>COUNTIFS(Raw_Attendance_Data!$B$2:$B$2, B49, Raw_Attendance_Data!$A$2:$A$2, 1, Raw_Attendance_Data!$Q$2:$Q$2, 1)</f>
        <v/>
      </c>
      <c r="K49">
        <f>COUNTIFS(Raw_Attendance_Data!$B$2:$B$2, B49, Raw_Attendance_Data!$A$2:$A$2, 1)</f>
        <v/>
      </c>
      <c r="L49">
        <f>IF(K49&gt;0, J49/K49, 1.0)</f>
        <v/>
      </c>
    </row>
    <row r="50">
      <c r="A50" t="n">
        <v>45</v>
      </c>
      <c r="B50" t="inlineStr">
        <is>
          <t>44</t>
        </is>
      </c>
      <c r="C50" t="inlineStr">
        <is>
          <t>Harsora Rajan Bakulbhai</t>
        </is>
      </c>
      <c r="D50" t="inlineStr">
        <is>
          <t>QA</t>
        </is>
      </c>
      <c r="E50" t="inlineStr">
        <is>
          <t>Vinit Praful Karia</t>
        </is>
      </c>
      <c r="F50">
        <f>IF(OR('Department KPI Analytics'!$G$6="All", D50='Department KPI Analytics'!$G$6), 16, 0)</f>
        <v/>
      </c>
      <c r="G50">
        <f>SUMIFS(Raw_Attendance_Data!$S$2:$S$2, Raw_Attendance_Data!$B$2:$B$2, B50, Raw_Attendance_Data!$A$2:$A$2, 1)</f>
        <v/>
      </c>
      <c r="H50">
        <f>MAX(F50-G50, 0)</f>
        <v/>
      </c>
      <c r="I50">
        <f>IF(F50&gt;0, G50/F50, 0)</f>
        <v/>
      </c>
      <c r="J50">
        <f>COUNTIFS(Raw_Attendance_Data!$B$2:$B$2, B50, Raw_Attendance_Data!$A$2:$A$2, 1, Raw_Attendance_Data!$Q$2:$Q$2, 1)</f>
        <v/>
      </c>
      <c r="K50">
        <f>COUNTIFS(Raw_Attendance_Data!$B$2:$B$2, B50, Raw_Attendance_Data!$A$2:$A$2, 1)</f>
        <v/>
      </c>
      <c r="L50">
        <f>IF(K50&gt;0, J50/K50, 1.0)</f>
        <v/>
      </c>
    </row>
    <row r="51">
      <c r="A51" t="n">
        <v>46</v>
      </c>
      <c r="B51" t="inlineStr">
        <is>
          <t>47</t>
        </is>
      </c>
      <c r="C51" t="inlineStr">
        <is>
          <t>Borkhatariya Tushar Jentilal</t>
        </is>
      </c>
      <c r="D51" t="inlineStr">
        <is>
          <t>Stores</t>
        </is>
      </c>
      <c r="E51" t="inlineStr">
        <is>
          <t>Vinit Praful Karia</t>
        </is>
      </c>
      <c r="F51">
        <f>IF(OR('Department KPI Analytics'!$G$6="All", D51='Department KPI Analytics'!$G$6), 16, 0)</f>
        <v/>
      </c>
      <c r="G51">
        <f>SUMIFS(Raw_Attendance_Data!$S$2:$S$2, Raw_Attendance_Data!$B$2:$B$2, B51, Raw_Attendance_Data!$A$2:$A$2, 1)</f>
        <v/>
      </c>
      <c r="H51">
        <f>MAX(F51-G51, 0)</f>
        <v/>
      </c>
      <c r="I51">
        <f>IF(F51&gt;0, G51/F51, 0)</f>
        <v/>
      </c>
      <c r="J51">
        <f>COUNTIFS(Raw_Attendance_Data!$B$2:$B$2, B51, Raw_Attendance_Data!$A$2:$A$2, 1, Raw_Attendance_Data!$Q$2:$Q$2, 1)</f>
        <v/>
      </c>
      <c r="K51">
        <f>COUNTIFS(Raw_Attendance_Data!$B$2:$B$2, B51, Raw_Attendance_Data!$A$2:$A$2, 1)</f>
        <v/>
      </c>
      <c r="L51">
        <f>IF(K51&gt;0, J51/K51, 1.0)</f>
        <v/>
      </c>
    </row>
    <row r="52">
      <c r="A52" t="n">
        <v>47</v>
      </c>
      <c r="B52" t="inlineStr">
        <is>
          <t>49</t>
        </is>
      </c>
      <c r="C52" t="inlineStr">
        <is>
          <t>Roopa R</t>
        </is>
      </c>
      <c r="D52" t="inlineStr">
        <is>
          <t>CRM</t>
        </is>
      </c>
      <c r="E52" t="inlineStr">
        <is>
          <t>Prakash Padukhone Muthiah</t>
        </is>
      </c>
      <c r="F52">
        <f>IF(OR('Department KPI Analytics'!$G$6="All", D52='Department KPI Analytics'!$G$6), 16, 0)</f>
        <v/>
      </c>
      <c r="G52">
        <f>SUMIFS(Raw_Attendance_Data!$S$2:$S$2, Raw_Attendance_Data!$B$2:$B$2, B52, Raw_Attendance_Data!$A$2:$A$2, 1)</f>
        <v/>
      </c>
      <c r="H52">
        <f>MAX(F52-G52, 0)</f>
        <v/>
      </c>
      <c r="I52">
        <f>IF(F52&gt;0, G52/F52, 0)</f>
        <v/>
      </c>
      <c r="J52">
        <f>COUNTIFS(Raw_Attendance_Data!$B$2:$B$2, B52, Raw_Attendance_Data!$A$2:$A$2, 1, Raw_Attendance_Data!$Q$2:$Q$2, 1)</f>
        <v/>
      </c>
      <c r="K52">
        <f>COUNTIFS(Raw_Attendance_Data!$B$2:$B$2, B52, Raw_Attendance_Data!$A$2:$A$2, 1)</f>
        <v/>
      </c>
      <c r="L52">
        <f>IF(K52&gt;0, J52/K52, 1.0)</f>
        <v/>
      </c>
    </row>
    <row r="53">
      <c r="A53" t="n">
        <v>48</v>
      </c>
      <c r="B53" t="inlineStr">
        <is>
          <t>50</t>
        </is>
      </c>
      <c r="C53" t="inlineStr">
        <is>
          <t>Shajahan C</t>
        </is>
      </c>
      <c r="D53" t="inlineStr">
        <is>
          <t>QA</t>
        </is>
      </c>
      <c r="E53" t="inlineStr">
        <is>
          <t>Srinivasan Beeman</t>
        </is>
      </c>
      <c r="F53">
        <f>IF(OR('Department KPI Analytics'!$G$6="All", D53='Department KPI Analytics'!$G$6), 16, 0)</f>
        <v/>
      </c>
      <c r="G53">
        <f>SUMIFS(Raw_Attendance_Data!$S$2:$S$2, Raw_Attendance_Data!$B$2:$B$2, B53, Raw_Attendance_Data!$A$2:$A$2, 1)</f>
        <v/>
      </c>
      <c r="H53">
        <f>MAX(F53-G53, 0)</f>
        <v/>
      </c>
      <c r="I53">
        <f>IF(F53&gt;0, G53/F53, 0)</f>
        <v/>
      </c>
      <c r="J53">
        <f>COUNTIFS(Raw_Attendance_Data!$B$2:$B$2, B53, Raw_Attendance_Data!$A$2:$A$2, 1, Raw_Attendance_Data!$Q$2:$Q$2, 1)</f>
        <v/>
      </c>
      <c r="K53">
        <f>COUNTIFS(Raw_Attendance_Data!$B$2:$B$2, B53, Raw_Attendance_Data!$A$2:$A$2, 1)</f>
        <v/>
      </c>
      <c r="L53">
        <f>IF(K53&gt;0, J53/K53, 1.0)</f>
        <v/>
      </c>
    </row>
    <row r="54">
      <c r="A54" t="n">
        <v>49</v>
      </c>
      <c r="B54" t="inlineStr">
        <is>
          <t>52</t>
        </is>
      </c>
      <c r="C54" t="inlineStr">
        <is>
          <t>Santhoshkumar Saravanan</t>
        </is>
      </c>
      <c r="D54" t="inlineStr">
        <is>
          <t>NPD</t>
        </is>
      </c>
      <c r="E54" t="inlineStr">
        <is>
          <t>Naveenkumar M</t>
        </is>
      </c>
      <c r="F54">
        <f>IF(OR('Department KPI Analytics'!$G$6="All", D54='Department KPI Analytics'!$G$6), 16, 0)</f>
        <v/>
      </c>
      <c r="G54">
        <f>SUMIFS(Raw_Attendance_Data!$S$2:$S$2, Raw_Attendance_Data!$B$2:$B$2, B54, Raw_Attendance_Data!$A$2:$A$2, 1)</f>
        <v/>
      </c>
      <c r="H54">
        <f>MAX(F54-G54, 0)</f>
        <v/>
      </c>
      <c r="I54">
        <f>IF(F54&gt;0, G54/F54, 0)</f>
        <v/>
      </c>
      <c r="J54">
        <f>COUNTIFS(Raw_Attendance_Data!$B$2:$B$2, B54, Raw_Attendance_Data!$A$2:$A$2, 1, Raw_Attendance_Data!$Q$2:$Q$2, 1)</f>
        <v/>
      </c>
      <c r="K54">
        <f>COUNTIFS(Raw_Attendance_Data!$B$2:$B$2, B54, Raw_Attendance_Data!$A$2:$A$2, 1)</f>
        <v/>
      </c>
      <c r="L54">
        <f>IF(K54&gt;0, J54/K54, 1.0)</f>
        <v/>
      </c>
    </row>
    <row r="55">
      <c r="A55" t="n">
        <v>50</v>
      </c>
      <c r="B55" t="inlineStr">
        <is>
          <t>53</t>
        </is>
      </c>
      <c r="C55" t="inlineStr">
        <is>
          <t>Hargan Satish Bhikhalal</t>
        </is>
      </c>
      <c r="D55" t="inlineStr">
        <is>
          <t>Sourcing</t>
        </is>
      </c>
      <c r="E55" t="inlineStr">
        <is>
          <t>Vinit Praful Karia</t>
        </is>
      </c>
      <c r="F55">
        <f>IF(OR('Department KPI Analytics'!$G$6="All", D55='Department KPI Analytics'!$G$6), 16, 0)</f>
        <v/>
      </c>
      <c r="G55">
        <f>SUMIFS(Raw_Attendance_Data!$S$2:$S$2, Raw_Attendance_Data!$B$2:$B$2, B55, Raw_Attendance_Data!$A$2:$A$2, 1)</f>
        <v/>
      </c>
      <c r="H55">
        <f>MAX(F55-G55, 0)</f>
        <v/>
      </c>
      <c r="I55">
        <f>IF(F55&gt;0, G55/F55, 0)</f>
        <v/>
      </c>
      <c r="J55">
        <f>COUNTIFS(Raw_Attendance_Data!$B$2:$B$2, B55, Raw_Attendance_Data!$A$2:$A$2, 1, Raw_Attendance_Data!$Q$2:$Q$2, 1)</f>
        <v/>
      </c>
      <c r="K55">
        <f>COUNTIFS(Raw_Attendance_Data!$B$2:$B$2, B55, Raw_Attendance_Data!$A$2:$A$2, 1)</f>
        <v/>
      </c>
      <c r="L55">
        <f>IF(K55&gt;0, J55/K55, 1.0)</f>
        <v/>
      </c>
    </row>
    <row r="56">
      <c r="A56" t="n">
        <v>51</v>
      </c>
      <c r="B56" t="inlineStr">
        <is>
          <t>54</t>
        </is>
      </c>
      <c r="C56" t="inlineStr">
        <is>
          <t>Hiren Rajeshbhai Chauhan</t>
        </is>
      </c>
      <c r="D56" t="inlineStr">
        <is>
          <t>QA</t>
        </is>
      </c>
      <c r="E56" t="inlineStr">
        <is>
          <t>Vinit Praful Karia</t>
        </is>
      </c>
      <c r="F56">
        <f>IF(OR('Department KPI Analytics'!$G$6="All", D56='Department KPI Analytics'!$G$6), 16, 0)</f>
        <v/>
      </c>
      <c r="G56">
        <f>SUMIFS(Raw_Attendance_Data!$S$2:$S$2, Raw_Attendance_Data!$B$2:$B$2, B56, Raw_Attendance_Data!$A$2:$A$2, 1)</f>
        <v/>
      </c>
      <c r="H56">
        <f>MAX(F56-G56, 0)</f>
        <v/>
      </c>
      <c r="I56">
        <f>IF(F56&gt;0, G56/F56, 0)</f>
        <v/>
      </c>
      <c r="J56">
        <f>COUNTIFS(Raw_Attendance_Data!$B$2:$B$2, B56, Raw_Attendance_Data!$A$2:$A$2, 1, Raw_Attendance_Data!$Q$2:$Q$2, 1)</f>
        <v/>
      </c>
      <c r="K56">
        <f>COUNTIFS(Raw_Attendance_Data!$B$2:$B$2, B56, Raw_Attendance_Data!$A$2:$A$2, 1)</f>
        <v/>
      </c>
      <c r="L56">
        <f>IF(K56&gt;0, J56/K56, 1.0)</f>
        <v/>
      </c>
    </row>
    <row r="57">
      <c r="A57" t="n">
        <v>52</v>
      </c>
      <c r="B57" t="inlineStr">
        <is>
          <t>55</t>
        </is>
      </c>
      <c r="C57" t="inlineStr">
        <is>
          <t>Dhori Vikas Nanajibhai</t>
        </is>
      </c>
      <c r="D57" t="inlineStr">
        <is>
          <t>QA</t>
        </is>
      </c>
      <c r="E57" t="inlineStr">
        <is>
          <t>Vinit Praful Karia</t>
        </is>
      </c>
      <c r="F57">
        <f>IF(OR('Department KPI Analytics'!$G$6="All", D57='Department KPI Analytics'!$G$6), 16, 0)</f>
        <v/>
      </c>
      <c r="G57">
        <f>SUMIFS(Raw_Attendance_Data!$S$2:$S$2, Raw_Attendance_Data!$B$2:$B$2, B57, Raw_Attendance_Data!$A$2:$A$2, 1)</f>
        <v/>
      </c>
      <c r="H57">
        <f>MAX(F57-G57, 0)</f>
        <v/>
      </c>
      <c r="I57">
        <f>IF(F57&gt;0, G57/F57, 0)</f>
        <v/>
      </c>
      <c r="J57">
        <f>COUNTIFS(Raw_Attendance_Data!$B$2:$B$2, B57, Raw_Attendance_Data!$A$2:$A$2, 1, Raw_Attendance_Data!$Q$2:$Q$2, 1)</f>
        <v/>
      </c>
      <c r="K57">
        <f>COUNTIFS(Raw_Attendance_Data!$B$2:$B$2, B57, Raw_Attendance_Data!$A$2:$A$2, 1)</f>
        <v/>
      </c>
      <c r="L57">
        <f>IF(K57&gt;0, J57/K57, 1.0)</f>
        <v/>
      </c>
    </row>
    <row r="58">
      <c r="A58" t="n">
        <v>53</v>
      </c>
      <c r="B58" t="inlineStr">
        <is>
          <t>56</t>
        </is>
      </c>
      <c r="C58" t="inlineStr">
        <is>
          <t>Swetha Swetha</t>
        </is>
      </c>
      <c r="D58" t="inlineStr">
        <is>
          <t>Stores</t>
        </is>
      </c>
      <c r="E58" t="inlineStr">
        <is>
          <t>Anil Kumar Joshi</t>
        </is>
      </c>
      <c r="F58">
        <f>IF(OR('Department KPI Analytics'!$G$6="All", D58='Department KPI Analytics'!$G$6), 16, 0)</f>
        <v/>
      </c>
      <c r="G58">
        <f>SUMIFS(Raw_Attendance_Data!$S$2:$S$2, Raw_Attendance_Data!$B$2:$B$2, B58, Raw_Attendance_Data!$A$2:$A$2, 1)</f>
        <v/>
      </c>
      <c r="H58">
        <f>MAX(F58-G58, 0)</f>
        <v/>
      </c>
      <c r="I58">
        <f>IF(F58&gt;0, G58/F58, 0)</f>
        <v/>
      </c>
      <c r="J58">
        <f>COUNTIFS(Raw_Attendance_Data!$B$2:$B$2, B58, Raw_Attendance_Data!$A$2:$A$2, 1, Raw_Attendance_Data!$Q$2:$Q$2, 1)</f>
        <v/>
      </c>
      <c r="K58">
        <f>COUNTIFS(Raw_Attendance_Data!$B$2:$B$2, B58, Raw_Attendance_Data!$A$2:$A$2, 1)</f>
        <v/>
      </c>
      <c r="L58">
        <f>IF(K58&gt;0, J58/K58, 1.0)</f>
        <v/>
      </c>
    </row>
    <row r="59">
      <c r="A59" t="n">
        <v>54</v>
      </c>
      <c r="B59" t="inlineStr">
        <is>
          <t>57</t>
        </is>
      </c>
      <c r="C59" t="inlineStr">
        <is>
          <t>Logeshkumar Mohan</t>
        </is>
      </c>
      <c r="D59" t="inlineStr">
        <is>
          <t>QA</t>
        </is>
      </c>
      <c r="E59" t="inlineStr">
        <is>
          <t>Srinivasan Beeman</t>
        </is>
      </c>
      <c r="F59">
        <f>IF(OR('Department KPI Analytics'!$G$6="All", D59='Department KPI Analytics'!$G$6), 16, 0)</f>
        <v/>
      </c>
      <c r="G59">
        <f>SUMIFS(Raw_Attendance_Data!$S$2:$S$2, Raw_Attendance_Data!$B$2:$B$2, B59, Raw_Attendance_Data!$A$2:$A$2, 1)</f>
        <v/>
      </c>
      <c r="H59">
        <f>MAX(F59-G59, 0)</f>
        <v/>
      </c>
      <c r="I59">
        <f>IF(F59&gt;0, G59/F59, 0)</f>
        <v/>
      </c>
      <c r="J59">
        <f>COUNTIFS(Raw_Attendance_Data!$B$2:$B$2, B59, Raw_Attendance_Data!$A$2:$A$2, 1, Raw_Attendance_Data!$Q$2:$Q$2, 1)</f>
        <v/>
      </c>
      <c r="K59">
        <f>COUNTIFS(Raw_Attendance_Data!$B$2:$B$2, B59, Raw_Attendance_Data!$A$2:$A$2, 1)</f>
        <v/>
      </c>
      <c r="L59">
        <f>IF(K59&gt;0, J59/K59, 1.0)</f>
        <v/>
      </c>
    </row>
    <row r="60">
      <c r="A60" t="n">
        <v>55</v>
      </c>
      <c r="B60" t="inlineStr">
        <is>
          <t>58</t>
        </is>
      </c>
      <c r="C60" t="inlineStr">
        <is>
          <t>P Santhosh Kumar</t>
        </is>
      </c>
      <c r="D60" t="inlineStr">
        <is>
          <t>NPD</t>
        </is>
      </c>
      <c r="E60" t="inlineStr">
        <is>
          <t>R Rathina Kumar</t>
        </is>
      </c>
      <c r="F60">
        <f>IF(OR('Department KPI Analytics'!$G$6="All", D60='Department KPI Analytics'!$G$6), 16, 0)</f>
        <v/>
      </c>
      <c r="G60">
        <f>SUMIFS(Raw_Attendance_Data!$S$2:$S$2, Raw_Attendance_Data!$B$2:$B$2, B60, Raw_Attendance_Data!$A$2:$A$2, 1)</f>
        <v/>
      </c>
      <c r="H60">
        <f>MAX(F60-G60, 0)</f>
        <v/>
      </c>
      <c r="I60">
        <f>IF(F60&gt;0, G60/F60, 0)</f>
        <v/>
      </c>
      <c r="J60">
        <f>COUNTIFS(Raw_Attendance_Data!$B$2:$B$2, B60, Raw_Attendance_Data!$A$2:$A$2, 1, Raw_Attendance_Data!$Q$2:$Q$2, 1)</f>
        <v/>
      </c>
      <c r="K60">
        <f>COUNTIFS(Raw_Attendance_Data!$B$2:$B$2, B60, Raw_Attendance_Data!$A$2:$A$2, 1)</f>
        <v/>
      </c>
      <c r="L60">
        <f>IF(K60&gt;0, J60/K60, 1.0)</f>
        <v/>
      </c>
    </row>
    <row r="61">
      <c r="A61" t="n">
        <v>56</v>
      </c>
      <c r="B61" t="inlineStr">
        <is>
          <t>59</t>
        </is>
      </c>
      <c r="C61" t="inlineStr">
        <is>
          <t>Anil Kumar Joshi</t>
        </is>
      </c>
      <c r="D61" t="inlineStr">
        <is>
          <t>Sourcing</t>
        </is>
      </c>
      <c r="E61" t="inlineStr">
        <is>
          <t>Ketan BC</t>
        </is>
      </c>
      <c r="F61">
        <f>IF(OR('Department KPI Analytics'!$G$6="All", D61='Department KPI Analytics'!$G$6), 16, 0)</f>
        <v/>
      </c>
      <c r="G61">
        <f>SUMIFS(Raw_Attendance_Data!$S$2:$S$2, Raw_Attendance_Data!$B$2:$B$2, B61, Raw_Attendance_Data!$A$2:$A$2, 1)</f>
        <v/>
      </c>
      <c r="H61">
        <f>MAX(F61-G61, 0)</f>
        <v/>
      </c>
      <c r="I61">
        <f>IF(F61&gt;0, G61/F61, 0)</f>
        <v/>
      </c>
      <c r="J61">
        <f>COUNTIFS(Raw_Attendance_Data!$B$2:$B$2, B61, Raw_Attendance_Data!$A$2:$A$2, 1, Raw_Attendance_Data!$Q$2:$Q$2, 1)</f>
        <v/>
      </c>
      <c r="K61">
        <f>COUNTIFS(Raw_Attendance_Data!$B$2:$B$2, B61, Raw_Attendance_Data!$A$2:$A$2, 1)</f>
        <v/>
      </c>
      <c r="L61">
        <f>IF(K61&gt;0, J61/K61, 1.0)</f>
        <v/>
      </c>
    </row>
    <row r="62">
      <c r="A62" t="n">
        <v>57</v>
      </c>
      <c r="B62" t="inlineStr">
        <is>
          <t>65</t>
        </is>
      </c>
      <c r="C62" t="inlineStr">
        <is>
          <t>B Dasthagir</t>
        </is>
      </c>
      <c r="D62" t="inlineStr">
        <is>
          <t>QA</t>
        </is>
      </c>
      <c r="E62" t="inlineStr">
        <is>
          <t>Srinivasan Beeman</t>
        </is>
      </c>
      <c r="F62">
        <f>IF(OR('Department KPI Analytics'!$G$6="All", D62='Department KPI Analytics'!$G$6), 16, 0)</f>
        <v/>
      </c>
      <c r="G62">
        <f>SUMIFS(Raw_Attendance_Data!$S$2:$S$2, Raw_Attendance_Data!$B$2:$B$2, B62, Raw_Attendance_Data!$A$2:$A$2, 1)</f>
        <v/>
      </c>
      <c r="H62">
        <f>MAX(F62-G62, 0)</f>
        <v/>
      </c>
      <c r="I62">
        <f>IF(F62&gt;0, G62/F62, 0)</f>
        <v/>
      </c>
      <c r="J62">
        <f>COUNTIFS(Raw_Attendance_Data!$B$2:$B$2, B62, Raw_Attendance_Data!$A$2:$A$2, 1, Raw_Attendance_Data!$Q$2:$Q$2, 1)</f>
        <v/>
      </c>
      <c r="K62">
        <f>COUNTIFS(Raw_Attendance_Data!$B$2:$B$2, B62, Raw_Attendance_Data!$A$2:$A$2, 1)</f>
        <v/>
      </c>
      <c r="L62">
        <f>IF(K62&gt;0, J62/K62, 1.0)</f>
        <v/>
      </c>
    </row>
    <row r="63">
      <c r="A63" t="n">
        <v>58</v>
      </c>
      <c r="B63" t="inlineStr">
        <is>
          <t>66</t>
        </is>
      </c>
      <c r="C63" t="inlineStr">
        <is>
          <t>Babu B</t>
        </is>
      </c>
      <c r="D63" t="inlineStr">
        <is>
          <t>Stores</t>
        </is>
      </c>
      <c r="E63" t="inlineStr">
        <is>
          <t>Swetha Swetha</t>
        </is>
      </c>
      <c r="F63">
        <f>IF(OR('Department KPI Analytics'!$G$6="All", D63='Department KPI Analytics'!$G$6), 16, 0)</f>
        <v/>
      </c>
      <c r="G63">
        <f>SUMIFS(Raw_Attendance_Data!$S$2:$S$2, Raw_Attendance_Data!$B$2:$B$2, B63, Raw_Attendance_Data!$A$2:$A$2, 1)</f>
        <v/>
      </c>
      <c r="H63">
        <f>MAX(F63-G63, 0)</f>
        <v/>
      </c>
      <c r="I63">
        <f>IF(F63&gt;0, G63/F63, 0)</f>
        <v/>
      </c>
      <c r="J63">
        <f>COUNTIFS(Raw_Attendance_Data!$B$2:$B$2, B63, Raw_Attendance_Data!$A$2:$A$2, 1, Raw_Attendance_Data!$Q$2:$Q$2, 1)</f>
        <v/>
      </c>
      <c r="K63">
        <f>COUNTIFS(Raw_Attendance_Data!$B$2:$B$2, B63, Raw_Attendance_Data!$A$2:$A$2, 1)</f>
        <v/>
      </c>
      <c r="L63">
        <f>IF(K63&gt;0, J63/K63, 1.0)</f>
        <v/>
      </c>
    </row>
    <row r="64">
      <c r="A64" t="n">
        <v>59</v>
      </c>
      <c r="B64" t="inlineStr">
        <is>
          <t>67</t>
        </is>
      </c>
      <c r="C64" t="inlineStr">
        <is>
          <t>Rambabu K</t>
        </is>
      </c>
      <c r="D64" t="inlineStr">
        <is>
          <t>Accounts</t>
        </is>
      </c>
      <c r="E64" t="inlineStr">
        <is>
          <t>Arunachalam Palaniappan</t>
        </is>
      </c>
      <c r="F64">
        <f>IF(OR('Department KPI Analytics'!$G$6="All", D64='Department KPI Analytics'!$G$6), 16, 0)</f>
        <v/>
      </c>
      <c r="G64">
        <f>SUMIFS(Raw_Attendance_Data!$S$2:$S$2, Raw_Attendance_Data!$B$2:$B$2, B64, Raw_Attendance_Data!$A$2:$A$2, 1)</f>
        <v/>
      </c>
      <c r="H64">
        <f>MAX(F64-G64, 0)</f>
        <v/>
      </c>
      <c r="I64">
        <f>IF(F64&gt;0, G64/F64, 0)</f>
        <v/>
      </c>
      <c r="J64">
        <f>COUNTIFS(Raw_Attendance_Data!$B$2:$B$2, B64, Raw_Attendance_Data!$A$2:$A$2, 1, Raw_Attendance_Data!$Q$2:$Q$2, 1)</f>
        <v/>
      </c>
      <c r="K64">
        <f>COUNTIFS(Raw_Attendance_Data!$B$2:$B$2, B64, Raw_Attendance_Data!$A$2:$A$2, 1)</f>
        <v/>
      </c>
      <c r="L64">
        <f>IF(K64&gt;0, J64/K64, 1.0)</f>
        <v/>
      </c>
    </row>
    <row r="65">
      <c r="A65" t="n">
        <v>60</v>
      </c>
      <c r="B65" t="inlineStr">
        <is>
          <t>68</t>
        </is>
      </c>
      <c r="C65" t="inlineStr">
        <is>
          <t>Prathap Gundapa</t>
        </is>
      </c>
      <c r="D65" t="inlineStr">
        <is>
          <t>Accounts</t>
        </is>
      </c>
      <c r="E65" t="inlineStr">
        <is>
          <t>Arunachalam Palaniappan</t>
        </is>
      </c>
      <c r="F65">
        <f>IF(OR('Department KPI Analytics'!$G$6="All", D65='Department KPI Analytics'!$G$6), 16, 0)</f>
        <v/>
      </c>
      <c r="G65">
        <f>SUMIFS(Raw_Attendance_Data!$S$2:$S$2, Raw_Attendance_Data!$B$2:$B$2, B65, Raw_Attendance_Data!$A$2:$A$2, 1)</f>
        <v/>
      </c>
      <c r="H65">
        <f>MAX(F65-G65, 0)</f>
        <v/>
      </c>
      <c r="I65">
        <f>IF(F65&gt;0, G65/F65, 0)</f>
        <v/>
      </c>
      <c r="J65">
        <f>COUNTIFS(Raw_Attendance_Data!$B$2:$B$2, B65, Raw_Attendance_Data!$A$2:$A$2, 1, Raw_Attendance_Data!$Q$2:$Q$2, 1)</f>
        <v/>
      </c>
      <c r="K65">
        <f>COUNTIFS(Raw_Attendance_Data!$B$2:$B$2, B65, Raw_Attendance_Data!$A$2:$A$2, 1)</f>
        <v/>
      </c>
      <c r="L65">
        <f>IF(K65&gt;0, J65/K65, 1.0)</f>
        <v/>
      </c>
    </row>
    <row r="66">
      <c r="A66" t="n">
        <v>61</v>
      </c>
      <c r="B66" t="inlineStr">
        <is>
          <t>69</t>
        </is>
      </c>
      <c r="C66" t="inlineStr">
        <is>
          <t>Supritha Raja</t>
        </is>
      </c>
      <c r="D66" t="inlineStr">
        <is>
          <t>Sourcing</t>
        </is>
      </c>
      <c r="E66" t="inlineStr">
        <is>
          <t>Anil Kumar Joshi</t>
        </is>
      </c>
      <c r="F66">
        <f>IF(OR('Department KPI Analytics'!$G$6="All", D66='Department KPI Analytics'!$G$6), 16, 0)</f>
        <v/>
      </c>
      <c r="G66">
        <f>SUMIFS(Raw_Attendance_Data!$S$2:$S$2, Raw_Attendance_Data!$B$2:$B$2, B66, Raw_Attendance_Data!$A$2:$A$2, 1)</f>
        <v/>
      </c>
      <c r="H66">
        <f>MAX(F66-G66, 0)</f>
        <v/>
      </c>
      <c r="I66">
        <f>IF(F66&gt;0, G66/F66, 0)</f>
        <v/>
      </c>
      <c r="J66">
        <f>COUNTIFS(Raw_Attendance_Data!$B$2:$B$2, B66, Raw_Attendance_Data!$A$2:$A$2, 1, Raw_Attendance_Data!$Q$2:$Q$2, 1)</f>
        <v/>
      </c>
      <c r="K66">
        <f>COUNTIFS(Raw_Attendance_Data!$B$2:$B$2, B66, Raw_Attendance_Data!$A$2:$A$2, 1)</f>
        <v/>
      </c>
      <c r="L66">
        <f>IF(K66&gt;0, J66/K66, 1.0)</f>
        <v/>
      </c>
    </row>
    <row r="67">
      <c r="A67" t="n">
        <v>62</v>
      </c>
      <c r="B67" t="inlineStr">
        <is>
          <t>70</t>
        </is>
      </c>
      <c r="C67" t="inlineStr">
        <is>
          <t>Mohan S</t>
        </is>
      </c>
      <c r="D67" t="inlineStr">
        <is>
          <t>Driver</t>
        </is>
      </c>
      <c r="E67" t="inlineStr">
        <is>
          <t>Sakthivel Muthu</t>
        </is>
      </c>
      <c r="F67">
        <f>IF(OR('Department KPI Analytics'!$G$6="All", D67='Department KPI Analytics'!$G$6), 16, 0)</f>
        <v/>
      </c>
      <c r="G67">
        <f>SUMIFS(Raw_Attendance_Data!$S$2:$S$2, Raw_Attendance_Data!$B$2:$B$2, B67, Raw_Attendance_Data!$A$2:$A$2, 1)</f>
        <v/>
      </c>
      <c r="H67">
        <f>MAX(F67-G67, 0)</f>
        <v/>
      </c>
      <c r="I67">
        <f>IF(F67&gt;0, G67/F67, 0)</f>
        <v/>
      </c>
      <c r="J67">
        <f>COUNTIFS(Raw_Attendance_Data!$B$2:$B$2, B67, Raw_Attendance_Data!$A$2:$A$2, 1, Raw_Attendance_Data!$Q$2:$Q$2, 1)</f>
        <v/>
      </c>
      <c r="K67">
        <f>COUNTIFS(Raw_Attendance_Data!$B$2:$B$2, B67, Raw_Attendance_Data!$A$2:$A$2, 1)</f>
        <v/>
      </c>
      <c r="L67">
        <f>IF(K67&gt;0, J67/K67, 1.0)</f>
        <v/>
      </c>
    </row>
    <row r="68">
      <c r="A68" t="n">
        <v>63</v>
      </c>
      <c r="B68" t="inlineStr">
        <is>
          <t>71</t>
        </is>
      </c>
      <c r="C68" t="inlineStr">
        <is>
          <t>Prabakaran .</t>
        </is>
      </c>
      <c r="D68" t="inlineStr">
        <is>
          <t>QA</t>
        </is>
      </c>
      <c r="E68" t="inlineStr">
        <is>
          <t>R Rathina Kumar</t>
        </is>
      </c>
      <c r="F68">
        <f>IF(OR('Department KPI Analytics'!$G$6="All", D68='Department KPI Analytics'!$G$6), 16, 0)</f>
        <v/>
      </c>
      <c r="G68">
        <f>SUMIFS(Raw_Attendance_Data!$S$2:$S$2, Raw_Attendance_Data!$B$2:$B$2, B68, Raw_Attendance_Data!$A$2:$A$2, 1)</f>
        <v/>
      </c>
      <c r="H68">
        <f>MAX(F68-G68, 0)</f>
        <v/>
      </c>
      <c r="I68">
        <f>IF(F68&gt;0, G68/F68, 0)</f>
        <v/>
      </c>
      <c r="J68">
        <f>COUNTIFS(Raw_Attendance_Data!$B$2:$B$2, B68, Raw_Attendance_Data!$A$2:$A$2, 1, Raw_Attendance_Data!$Q$2:$Q$2, 1)</f>
        <v/>
      </c>
      <c r="K68">
        <f>COUNTIFS(Raw_Attendance_Data!$B$2:$B$2, B68, Raw_Attendance_Data!$A$2:$A$2, 1)</f>
        <v/>
      </c>
      <c r="L68">
        <f>IF(K68&gt;0, J68/K68, 1.0)</f>
        <v/>
      </c>
    </row>
    <row r="69">
      <c r="A69" t="n">
        <v>64</v>
      </c>
      <c r="B69" t="inlineStr">
        <is>
          <t>72</t>
        </is>
      </c>
      <c r="C69" t="inlineStr">
        <is>
          <t>Karthika Saran Kandaruban</t>
        </is>
      </c>
      <c r="D69" t="inlineStr">
        <is>
          <t>RFQ</t>
        </is>
      </c>
      <c r="E69" t="inlineStr">
        <is>
          <t>R Rathina Kumar</t>
        </is>
      </c>
      <c r="F69">
        <f>IF(OR('Department KPI Analytics'!$G$6="All", D69='Department KPI Analytics'!$G$6), 16, 0)</f>
        <v/>
      </c>
      <c r="G69">
        <f>SUMIFS(Raw_Attendance_Data!$S$2:$S$2, Raw_Attendance_Data!$B$2:$B$2, B69, Raw_Attendance_Data!$A$2:$A$2, 1)</f>
        <v/>
      </c>
      <c r="H69">
        <f>MAX(F69-G69, 0)</f>
        <v/>
      </c>
      <c r="I69">
        <f>IF(F69&gt;0, G69/F69, 0)</f>
        <v/>
      </c>
      <c r="J69">
        <f>COUNTIFS(Raw_Attendance_Data!$B$2:$B$2, B69, Raw_Attendance_Data!$A$2:$A$2, 1, Raw_Attendance_Data!$Q$2:$Q$2, 1)</f>
        <v/>
      </c>
      <c r="K69">
        <f>COUNTIFS(Raw_Attendance_Data!$B$2:$B$2, B69, Raw_Attendance_Data!$A$2:$A$2, 1)</f>
        <v/>
      </c>
      <c r="L69">
        <f>IF(K69&gt;0, J69/K69, 1.0)</f>
        <v/>
      </c>
    </row>
    <row r="70">
      <c r="A70" t="n">
        <v>65</v>
      </c>
      <c r="B70" t="inlineStr">
        <is>
          <t>73</t>
        </is>
      </c>
      <c r="C70" t="inlineStr">
        <is>
          <t>P Nalini</t>
        </is>
      </c>
      <c r="D70" t="inlineStr">
        <is>
          <t>HR</t>
        </is>
      </c>
      <c r="E70" t="inlineStr">
        <is>
          <t>Manasa R</t>
        </is>
      </c>
      <c r="F70">
        <f>IF(OR('Department KPI Analytics'!$G$6="All", D70='Department KPI Analytics'!$G$6), 16, 0)</f>
        <v/>
      </c>
      <c r="G70">
        <f>SUMIFS(Raw_Attendance_Data!$S$2:$S$2, Raw_Attendance_Data!$B$2:$B$2, B70, Raw_Attendance_Data!$A$2:$A$2, 1)</f>
        <v/>
      </c>
      <c r="H70">
        <f>MAX(F70-G70, 0)</f>
        <v/>
      </c>
      <c r="I70">
        <f>IF(F70&gt;0, G70/F70, 0)</f>
        <v/>
      </c>
      <c r="J70">
        <f>COUNTIFS(Raw_Attendance_Data!$B$2:$B$2, B70, Raw_Attendance_Data!$A$2:$A$2, 1, Raw_Attendance_Data!$Q$2:$Q$2, 1)</f>
        <v/>
      </c>
      <c r="K70">
        <f>COUNTIFS(Raw_Attendance_Data!$B$2:$B$2, B70, Raw_Attendance_Data!$A$2:$A$2, 1)</f>
        <v/>
      </c>
      <c r="L70">
        <f>IF(K70&gt;0, J70/K70, 1.0)</f>
        <v/>
      </c>
    </row>
    <row r="71">
      <c r="A71" t="n">
        <v>66</v>
      </c>
      <c r="B71" t="inlineStr">
        <is>
          <t>74</t>
        </is>
      </c>
      <c r="C71" t="inlineStr">
        <is>
          <t>Manasa R</t>
        </is>
      </c>
      <c r="D71" t="inlineStr">
        <is>
          <t>HR</t>
        </is>
      </c>
      <c r="E71" t="inlineStr">
        <is>
          <t>Prakash Padukhone Muthiah</t>
        </is>
      </c>
      <c r="F71">
        <f>IF(OR('Department KPI Analytics'!$G$6="All", D71='Department KPI Analytics'!$G$6), 16, 0)</f>
        <v/>
      </c>
      <c r="G71">
        <f>SUMIFS(Raw_Attendance_Data!$S$2:$S$2, Raw_Attendance_Data!$B$2:$B$2, B71, Raw_Attendance_Data!$A$2:$A$2, 1)</f>
        <v/>
      </c>
      <c r="H71">
        <f>MAX(F71-G71, 0)</f>
        <v/>
      </c>
      <c r="I71">
        <f>IF(F71&gt;0, G71/F71, 0)</f>
        <v/>
      </c>
      <c r="J71">
        <f>COUNTIFS(Raw_Attendance_Data!$B$2:$B$2, B71, Raw_Attendance_Data!$A$2:$A$2, 1, Raw_Attendance_Data!$Q$2:$Q$2, 1)</f>
        <v/>
      </c>
      <c r="K71">
        <f>COUNTIFS(Raw_Attendance_Data!$B$2:$B$2, B71, Raw_Attendance_Data!$A$2:$A$2, 1)</f>
        <v/>
      </c>
      <c r="L71">
        <f>IF(K71&gt;0, J71/K71, 1.0)</f>
        <v/>
      </c>
    </row>
    <row r="72">
      <c r="A72" t="n">
        <v>67</v>
      </c>
      <c r="B72" t="inlineStr">
        <is>
          <t>75</t>
        </is>
      </c>
      <c r="C72" t="inlineStr">
        <is>
          <t>Samir Vekariya</t>
        </is>
      </c>
      <c r="D72" t="inlineStr">
        <is>
          <t>NPD</t>
        </is>
      </c>
      <c r="E72" t="inlineStr">
        <is>
          <t>R Rathina Kumar</t>
        </is>
      </c>
      <c r="F72">
        <f>IF(OR('Department KPI Analytics'!$G$6="All", D72='Department KPI Analytics'!$G$6), 16, 0)</f>
        <v/>
      </c>
      <c r="G72">
        <f>SUMIFS(Raw_Attendance_Data!$S$2:$S$2, Raw_Attendance_Data!$B$2:$B$2, B72, Raw_Attendance_Data!$A$2:$A$2, 1)</f>
        <v/>
      </c>
      <c r="H72">
        <f>MAX(F72-G72, 0)</f>
        <v/>
      </c>
      <c r="I72">
        <f>IF(F72&gt;0, G72/F72, 0)</f>
        <v/>
      </c>
      <c r="J72">
        <f>COUNTIFS(Raw_Attendance_Data!$B$2:$B$2, B72, Raw_Attendance_Data!$A$2:$A$2, 1, Raw_Attendance_Data!$Q$2:$Q$2, 1)</f>
        <v/>
      </c>
      <c r="K72">
        <f>COUNTIFS(Raw_Attendance_Data!$B$2:$B$2, B72, Raw_Attendance_Data!$A$2:$A$2, 1)</f>
        <v/>
      </c>
      <c r="L72">
        <f>IF(K72&gt;0, J72/K72, 1.0)</f>
        <v/>
      </c>
    </row>
    <row r="73">
      <c r="A73" t="n">
        <v>68</v>
      </c>
      <c r="B73" t="inlineStr">
        <is>
          <t>76</t>
        </is>
      </c>
      <c r="C73" t="inlineStr">
        <is>
          <t>R Rathina Kumar</t>
        </is>
      </c>
      <c r="D73" t="inlineStr">
        <is>
          <t>NPD</t>
        </is>
      </c>
      <c r="E73" t="inlineStr">
        <is>
          <t>Ketan BC</t>
        </is>
      </c>
      <c r="F73">
        <f>IF(OR('Department KPI Analytics'!$G$6="All", D73='Department KPI Analytics'!$G$6), 16, 0)</f>
        <v/>
      </c>
      <c r="G73">
        <f>SUMIFS(Raw_Attendance_Data!$S$2:$S$2, Raw_Attendance_Data!$B$2:$B$2, B73, Raw_Attendance_Data!$A$2:$A$2, 1)</f>
        <v/>
      </c>
      <c r="H73">
        <f>MAX(F73-G73, 0)</f>
        <v/>
      </c>
      <c r="I73">
        <f>IF(F73&gt;0, G73/F73, 0)</f>
        <v/>
      </c>
      <c r="J73">
        <f>COUNTIFS(Raw_Attendance_Data!$B$2:$B$2, B73, Raw_Attendance_Data!$A$2:$A$2, 1, Raw_Attendance_Data!$Q$2:$Q$2, 1)</f>
        <v/>
      </c>
      <c r="K73">
        <f>COUNTIFS(Raw_Attendance_Data!$B$2:$B$2, B73, Raw_Attendance_Data!$A$2:$A$2, 1)</f>
        <v/>
      </c>
      <c r="L73">
        <f>IF(K73&gt;0, J73/K73, 1.0)</f>
        <v/>
      </c>
    </row>
    <row r="74">
      <c r="A74" t="n">
        <v>69</v>
      </c>
      <c r="B74" t="inlineStr">
        <is>
          <t>78</t>
        </is>
      </c>
      <c r="C74" t="inlineStr">
        <is>
          <t>Mohan J</t>
        </is>
      </c>
      <c r="D74" t="inlineStr">
        <is>
          <t>QA</t>
        </is>
      </c>
      <c r="E74" t="inlineStr">
        <is>
          <t>Srinivasan Beeman</t>
        </is>
      </c>
      <c r="F74">
        <f>IF(OR('Department KPI Analytics'!$G$6="All", D74='Department KPI Analytics'!$G$6), 16, 0)</f>
        <v/>
      </c>
      <c r="G74">
        <f>SUMIFS(Raw_Attendance_Data!$S$2:$S$2, Raw_Attendance_Data!$B$2:$B$2, B74, Raw_Attendance_Data!$A$2:$A$2, 1)</f>
        <v/>
      </c>
      <c r="H74">
        <f>MAX(F74-G74, 0)</f>
        <v/>
      </c>
      <c r="I74">
        <f>IF(F74&gt;0, G74/F74, 0)</f>
        <v/>
      </c>
      <c r="J74">
        <f>COUNTIFS(Raw_Attendance_Data!$B$2:$B$2, B74, Raw_Attendance_Data!$A$2:$A$2, 1, Raw_Attendance_Data!$Q$2:$Q$2, 1)</f>
        <v/>
      </c>
      <c r="K74">
        <f>COUNTIFS(Raw_Attendance_Data!$B$2:$B$2, B74, Raw_Attendance_Data!$A$2:$A$2, 1)</f>
        <v/>
      </c>
      <c r="L74">
        <f>IF(K74&gt;0, J74/K74, 1.0)</f>
        <v/>
      </c>
    </row>
    <row r="75">
      <c r="A75" t="n">
        <v>70</v>
      </c>
      <c r="B75" t="inlineStr">
        <is>
          <t>80</t>
        </is>
      </c>
      <c r="C75" t="inlineStr">
        <is>
          <t>Elangovan prem</t>
        </is>
      </c>
      <c r="D75" t="inlineStr">
        <is>
          <t>Stores</t>
        </is>
      </c>
      <c r="E75" t="inlineStr">
        <is>
          <t>Swetha Swetha</t>
        </is>
      </c>
      <c r="F75">
        <f>IF(OR('Department KPI Analytics'!$G$6="All", D75='Department KPI Analytics'!$G$6), 16, 0)</f>
        <v/>
      </c>
      <c r="G75">
        <f>SUMIFS(Raw_Attendance_Data!$S$2:$S$2, Raw_Attendance_Data!$B$2:$B$2, B75, Raw_Attendance_Data!$A$2:$A$2, 1)</f>
        <v/>
      </c>
      <c r="H75">
        <f>MAX(F75-G75, 0)</f>
        <v/>
      </c>
      <c r="I75">
        <f>IF(F75&gt;0, G75/F75, 0)</f>
        <v/>
      </c>
      <c r="J75">
        <f>COUNTIFS(Raw_Attendance_Data!$B$2:$B$2, B75, Raw_Attendance_Data!$A$2:$A$2, 1, Raw_Attendance_Data!$Q$2:$Q$2, 1)</f>
        <v/>
      </c>
      <c r="K75">
        <f>COUNTIFS(Raw_Attendance_Data!$B$2:$B$2, B75, Raw_Attendance_Data!$A$2:$A$2, 1)</f>
        <v/>
      </c>
      <c r="L75">
        <f>IF(K75&gt;0, J75/K75, 1.0)</f>
        <v/>
      </c>
    </row>
    <row r="76">
      <c r="A76" t="n">
        <v>71</v>
      </c>
      <c r="B76" t="inlineStr">
        <is>
          <t>81</t>
        </is>
      </c>
      <c r="C76" t="inlineStr">
        <is>
          <t>Balakumar N</t>
        </is>
      </c>
      <c r="D76" t="inlineStr">
        <is>
          <t>Casting</t>
        </is>
      </c>
      <c r="E76" t="inlineStr">
        <is>
          <t>R Rathina Kumar</t>
        </is>
      </c>
      <c r="F76">
        <f>IF(OR('Department KPI Analytics'!$G$6="All", D76='Department KPI Analytics'!$G$6), 16, 0)</f>
        <v/>
      </c>
      <c r="G76">
        <f>SUMIFS(Raw_Attendance_Data!$S$2:$S$2, Raw_Attendance_Data!$B$2:$B$2, B76, Raw_Attendance_Data!$A$2:$A$2, 1)</f>
        <v/>
      </c>
      <c r="H76">
        <f>MAX(F76-G76, 0)</f>
        <v/>
      </c>
      <c r="I76">
        <f>IF(F76&gt;0, G76/F76, 0)</f>
        <v/>
      </c>
      <c r="J76">
        <f>COUNTIFS(Raw_Attendance_Data!$B$2:$B$2, B76, Raw_Attendance_Data!$A$2:$A$2, 1, Raw_Attendance_Data!$Q$2:$Q$2, 1)</f>
        <v/>
      </c>
      <c r="K76">
        <f>COUNTIFS(Raw_Attendance_Data!$B$2:$B$2, B76, Raw_Attendance_Data!$A$2:$A$2, 1)</f>
        <v/>
      </c>
      <c r="L76">
        <f>IF(K76&gt;0, J76/K76, 1.0)</f>
        <v/>
      </c>
    </row>
    <row r="77">
      <c r="A77" t="n">
        <v>72</v>
      </c>
      <c r="B77" t="inlineStr">
        <is>
          <t>82</t>
        </is>
      </c>
      <c r="C77" t="inlineStr">
        <is>
          <t>Sathishkumar Narayanappa</t>
        </is>
      </c>
      <c r="D77" t="inlineStr">
        <is>
          <t>Commercial</t>
        </is>
      </c>
      <c r="E77" t="inlineStr">
        <is>
          <t>Rajeshwari Ganeshkumar</t>
        </is>
      </c>
      <c r="F77">
        <f>IF(OR('Department KPI Analytics'!$G$6="All", D77='Department KPI Analytics'!$G$6), 16, 0)</f>
        <v/>
      </c>
      <c r="G77">
        <f>SUMIFS(Raw_Attendance_Data!$S$2:$S$2, Raw_Attendance_Data!$B$2:$B$2, B77, Raw_Attendance_Data!$A$2:$A$2, 1)</f>
        <v/>
      </c>
      <c r="H77">
        <f>MAX(F77-G77, 0)</f>
        <v/>
      </c>
      <c r="I77">
        <f>IF(F77&gt;0, G77/F77, 0)</f>
        <v/>
      </c>
      <c r="J77">
        <f>COUNTIFS(Raw_Attendance_Data!$B$2:$B$2, B77, Raw_Attendance_Data!$A$2:$A$2, 1, Raw_Attendance_Data!$Q$2:$Q$2, 1)</f>
        <v/>
      </c>
      <c r="K77">
        <f>COUNTIFS(Raw_Attendance_Data!$B$2:$B$2, B77, Raw_Attendance_Data!$A$2:$A$2, 1)</f>
        <v/>
      </c>
      <c r="L77">
        <f>IF(K77&gt;0, J77/K77, 1.0)</f>
        <v/>
      </c>
    </row>
    <row r="78">
      <c r="A78" t="n">
        <v>73</v>
      </c>
      <c r="B78" t="inlineStr">
        <is>
          <t>83</t>
        </is>
      </c>
      <c r="C78" t="inlineStr">
        <is>
          <t>Venkataramanan Dharmaraj</t>
        </is>
      </c>
      <c r="D78" t="inlineStr">
        <is>
          <t>Sourcing</t>
        </is>
      </c>
      <c r="E78" t="inlineStr">
        <is>
          <t>Anil Kumar Joshi</t>
        </is>
      </c>
      <c r="F78">
        <f>IF(OR('Department KPI Analytics'!$G$6="All", D78='Department KPI Analytics'!$G$6), 16, 0)</f>
        <v/>
      </c>
      <c r="G78">
        <f>SUMIFS(Raw_Attendance_Data!$S$2:$S$2, Raw_Attendance_Data!$B$2:$B$2, B78, Raw_Attendance_Data!$A$2:$A$2, 1)</f>
        <v/>
      </c>
      <c r="H78">
        <f>MAX(F78-G78, 0)</f>
        <v/>
      </c>
      <c r="I78">
        <f>IF(F78&gt;0, G78/F78, 0)</f>
        <v/>
      </c>
      <c r="J78">
        <f>COUNTIFS(Raw_Attendance_Data!$B$2:$B$2, B78, Raw_Attendance_Data!$A$2:$A$2, 1, Raw_Attendance_Data!$Q$2:$Q$2, 1)</f>
        <v/>
      </c>
      <c r="K78">
        <f>COUNTIFS(Raw_Attendance_Data!$B$2:$B$2, B78, Raw_Attendance_Data!$A$2:$A$2, 1)</f>
        <v/>
      </c>
      <c r="L78">
        <f>IF(K78&gt;0, J78/K78, 1.0)</f>
        <v/>
      </c>
    </row>
    <row r="79">
      <c r="A79" t="n">
        <v>74</v>
      </c>
      <c r="B79" t="inlineStr">
        <is>
          <t>86</t>
        </is>
      </c>
      <c r="C79" t="inlineStr">
        <is>
          <t>Sundaravel S</t>
        </is>
      </c>
      <c r="D79" t="inlineStr">
        <is>
          <t>QA</t>
        </is>
      </c>
      <c r="E79" t="inlineStr">
        <is>
          <t>Srinivasan Beeman</t>
        </is>
      </c>
      <c r="F79">
        <f>IF(OR('Department KPI Analytics'!$G$6="All", D79='Department KPI Analytics'!$G$6), 16, 0)</f>
        <v/>
      </c>
      <c r="G79">
        <f>SUMIFS(Raw_Attendance_Data!$S$2:$S$2, Raw_Attendance_Data!$B$2:$B$2, B79, Raw_Attendance_Data!$A$2:$A$2, 1)</f>
        <v/>
      </c>
      <c r="H79">
        <f>MAX(F79-G79, 0)</f>
        <v/>
      </c>
      <c r="I79">
        <f>IF(F79&gt;0, G79/F79, 0)</f>
        <v/>
      </c>
      <c r="J79">
        <f>COUNTIFS(Raw_Attendance_Data!$B$2:$B$2, B79, Raw_Attendance_Data!$A$2:$A$2, 1, Raw_Attendance_Data!$Q$2:$Q$2, 1)</f>
        <v/>
      </c>
      <c r="K79">
        <f>COUNTIFS(Raw_Attendance_Data!$B$2:$B$2, B79, Raw_Attendance_Data!$A$2:$A$2, 1)</f>
        <v/>
      </c>
      <c r="L79">
        <f>IF(K79&gt;0, J79/K79, 1.0)</f>
        <v/>
      </c>
    </row>
    <row r="80">
      <c r="A80" t="n">
        <v>75</v>
      </c>
      <c r="B80" t="inlineStr">
        <is>
          <t>87</t>
        </is>
      </c>
      <c r="C80" t="inlineStr">
        <is>
          <t>Ankul Kumar</t>
        </is>
      </c>
      <c r="D80" t="inlineStr">
        <is>
          <t>Marketing</t>
        </is>
      </c>
      <c r="E80" t="inlineStr">
        <is>
          <t>Prakash Padukhone Muthiah</t>
        </is>
      </c>
      <c r="F80">
        <f>IF(OR('Department KPI Analytics'!$G$6="All", D80='Department KPI Analytics'!$G$6), 16, 0)</f>
        <v/>
      </c>
      <c r="G80">
        <f>SUMIFS(Raw_Attendance_Data!$S$2:$S$2, Raw_Attendance_Data!$B$2:$B$2, B80, Raw_Attendance_Data!$A$2:$A$2, 1)</f>
        <v/>
      </c>
      <c r="H80">
        <f>MAX(F80-G80, 0)</f>
        <v/>
      </c>
      <c r="I80">
        <f>IF(F80&gt;0, G80/F80, 0)</f>
        <v/>
      </c>
      <c r="J80">
        <f>COUNTIFS(Raw_Attendance_Data!$B$2:$B$2, B80, Raw_Attendance_Data!$A$2:$A$2, 1, Raw_Attendance_Data!$Q$2:$Q$2, 1)</f>
        <v/>
      </c>
      <c r="K80">
        <f>COUNTIFS(Raw_Attendance_Data!$B$2:$B$2, B80, Raw_Attendance_Data!$A$2:$A$2, 1)</f>
        <v/>
      </c>
      <c r="L80">
        <f>IF(K80&gt;0, J80/K80, 1.0)</f>
        <v/>
      </c>
    </row>
    <row r="81">
      <c r="A81" t="n">
        <v>76</v>
      </c>
      <c r="B81" t="inlineStr">
        <is>
          <t>88</t>
        </is>
      </c>
      <c r="C81" t="inlineStr">
        <is>
          <t>Devar S</t>
        </is>
      </c>
      <c r="D81" t="inlineStr">
        <is>
          <t>Sourcing</t>
        </is>
      </c>
      <c r="E81" t="inlineStr">
        <is>
          <t>Anil Kumar Joshi</t>
        </is>
      </c>
      <c r="F81">
        <f>IF(OR('Department KPI Analytics'!$G$6="All", D81='Department KPI Analytics'!$G$6), 16, 0)</f>
        <v/>
      </c>
      <c r="G81">
        <f>SUMIFS(Raw_Attendance_Data!$S$2:$S$2, Raw_Attendance_Data!$B$2:$B$2, B81, Raw_Attendance_Data!$A$2:$A$2, 1)</f>
        <v/>
      </c>
      <c r="H81">
        <f>MAX(F81-G81, 0)</f>
        <v/>
      </c>
      <c r="I81">
        <f>IF(F81&gt;0, G81/F81, 0)</f>
        <v/>
      </c>
      <c r="J81">
        <f>COUNTIFS(Raw_Attendance_Data!$B$2:$B$2, B81, Raw_Attendance_Data!$A$2:$A$2, 1, Raw_Attendance_Data!$Q$2:$Q$2, 1)</f>
        <v/>
      </c>
      <c r="K81">
        <f>COUNTIFS(Raw_Attendance_Data!$B$2:$B$2, B81, Raw_Attendance_Data!$A$2:$A$2, 1)</f>
        <v/>
      </c>
      <c r="L81">
        <f>IF(K81&gt;0, J81/K81, 1.0)</f>
        <v/>
      </c>
    </row>
    <row r="82">
      <c r="A82" t="n">
        <v>77</v>
      </c>
      <c r="B82" t="inlineStr">
        <is>
          <t>89</t>
        </is>
      </c>
      <c r="C82" t="inlineStr">
        <is>
          <t>Prabakaran Amarjothi</t>
        </is>
      </c>
      <c r="D82" t="inlineStr">
        <is>
          <t>Stores</t>
        </is>
      </c>
      <c r="E82" t="inlineStr">
        <is>
          <t>Swetha Swetha</t>
        </is>
      </c>
      <c r="F82">
        <f>IF(OR('Department KPI Analytics'!$G$6="All", D82='Department KPI Analytics'!$G$6), 16, 0)</f>
        <v/>
      </c>
      <c r="G82">
        <f>SUMIFS(Raw_Attendance_Data!$S$2:$S$2, Raw_Attendance_Data!$B$2:$B$2, B82, Raw_Attendance_Data!$A$2:$A$2, 1)</f>
        <v/>
      </c>
      <c r="H82">
        <f>MAX(F82-G82, 0)</f>
        <v/>
      </c>
      <c r="I82">
        <f>IF(F82&gt;0, G82/F82, 0)</f>
        <v/>
      </c>
      <c r="J82">
        <f>COUNTIFS(Raw_Attendance_Data!$B$2:$B$2, B82, Raw_Attendance_Data!$A$2:$A$2, 1, Raw_Attendance_Data!$Q$2:$Q$2, 1)</f>
        <v/>
      </c>
      <c r="K82">
        <f>COUNTIFS(Raw_Attendance_Data!$B$2:$B$2, B82, Raw_Attendance_Data!$A$2:$A$2, 1)</f>
        <v/>
      </c>
      <c r="L82">
        <f>IF(K82&gt;0, J82/K82, 1.0)</f>
        <v/>
      </c>
    </row>
    <row r="83">
      <c r="A83" t="n">
        <v>78</v>
      </c>
      <c r="B83" t="inlineStr">
        <is>
          <t>90</t>
        </is>
      </c>
      <c r="C83" t="inlineStr">
        <is>
          <t>Manjula Ravikumar</t>
        </is>
      </c>
      <c r="D83" t="inlineStr">
        <is>
          <t>QA</t>
        </is>
      </c>
      <c r="E83" t="inlineStr">
        <is>
          <t>Srinivasan Beeman</t>
        </is>
      </c>
      <c r="F83">
        <f>IF(OR('Department KPI Analytics'!$G$6="All", D83='Department KPI Analytics'!$G$6), 16, 0)</f>
        <v/>
      </c>
      <c r="G83">
        <f>SUMIFS(Raw_Attendance_Data!$S$2:$S$2, Raw_Attendance_Data!$B$2:$B$2, B83, Raw_Attendance_Data!$A$2:$A$2, 1)</f>
        <v/>
      </c>
      <c r="H83">
        <f>MAX(F83-G83, 0)</f>
        <v/>
      </c>
      <c r="I83">
        <f>IF(F83&gt;0, G83/F83, 0)</f>
        <v/>
      </c>
      <c r="J83">
        <f>COUNTIFS(Raw_Attendance_Data!$B$2:$B$2, B83, Raw_Attendance_Data!$A$2:$A$2, 1, Raw_Attendance_Data!$Q$2:$Q$2, 1)</f>
        <v/>
      </c>
      <c r="K83">
        <f>COUNTIFS(Raw_Attendance_Data!$B$2:$B$2, B83, Raw_Attendance_Data!$A$2:$A$2, 1)</f>
        <v/>
      </c>
      <c r="L83">
        <f>IF(K83&gt;0, J83/K83, 1.0)</f>
        <v/>
      </c>
    </row>
    <row r="84">
      <c r="A84" t="n">
        <v>79</v>
      </c>
      <c r="B84" t="inlineStr">
        <is>
          <t>93</t>
        </is>
      </c>
      <c r="C84" t="inlineStr">
        <is>
          <t>Pranav P A</t>
        </is>
      </c>
      <c r="D84" t="inlineStr">
        <is>
          <t>NPD</t>
        </is>
      </c>
      <c r="E84" t="inlineStr">
        <is>
          <t>R Rathina Kumar</t>
        </is>
      </c>
      <c r="F84">
        <f>IF(OR('Department KPI Analytics'!$G$6="All", D84='Department KPI Analytics'!$G$6), 16, 0)</f>
        <v/>
      </c>
      <c r="G84">
        <f>SUMIFS(Raw_Attendance_Data!$S$2:$S$2, Raw_Attendance_Data!$B$2:$B$2, B84, Raw_Attendance_Data!$A$2:$A$2, 1)</f>
        <v/>
      </c>
      <c r="H84">
        <f>MAX(F84-G84, 0)</f>
        <v/>
      </c>
      <c r="I84">
        <f>IF(F84&gt;0, G84/F84, 0)</f>
        <v/>
      </c>
      <c r="J84">
        <f>COUNTIFS(Raw_Attendance_Data!$B$2:$B$2, B84, Raw_Attendance_Data!$A$2:$A$2, 1, Raw_Attendance_Data!$Q$2:$Q$2, 1)</f>
        <v/>
      </c>
      <c r="K84">
        <f>COUNTIFS(Raw_Attendance_Data!$B$2:$B$2, B84, Raw_Attendance_Data!$A$2:$A$2, 1)</f>
        <v/>
      </c>
      <c r="L84">
        <f>IF(K84&gt;0, J84/K84, 1.0)</f>
        <v/>
      </c>
    </row>
    <row r="85">
      <c r="A85" t="n">
        <v>80</v>
      </c>
      <c r="B85" t="inlineStr">
        <is>
          <t>94</t>
        </is>
      </c>
      <c r="C85" t="inlineStr">
        <is>
          <t>Bhatt Shivang Bharatbhai</t>
        </is>
      </c>
      <c r="D85" t="inlineStr">
        <is>
          <t>QA</t>
        </is>
      </c>
      <c r="E85" t="inlineStr">
        <is>
          <t>Harsora Rajan Bakulbhai</t>
        </is>
      </c>
      <c r="F85">
        <f>IF(OR('Department KPI Analytics'!$G$6="All", D85='Department KPI Analytics'!$G$6), 16, 0)</f>
        <v/>
      </c>
      <c r="G85">
        <f>SUMIFS(Raw_Attendance_Data!$S$2:$S$2, Raw_Attendance_Data!$B$2:$B$2, B85, Raw_Attendance_Data!$A$2:$A$2, 1)</f>
        <v/>
      </c>
      <c r="H85">
        <f>MAX(F85-G85, 0)</f>
        <v/>
      </c>
      <c r="I85">
        <f>IF(F85&gt;0, G85/F85, 0)</f>
        <v/>
      </c>
      <c r="J85">
        <f>COUNTIFS(Raw_Attendance_Data!$B$2:$B$2, B85, Raw_Attendance_Data!$A$2:$A$2, 1, Raw_Attendance_Data!$Q$2:$Q$2, 1)</f>
        <v/>
      </c>
      <c r="K85">
        <f>COUNTIFS(Raw_Attendance_Data!$B$2:$B$2, B85, Raw_Attendance_Data!$A$2:$A$2, 1)</f>
        <v/>
      </c>
      <c r="L85">
        <f>IF(K85&gt;0, J85/K85, 1.0)</f>
        <v/>
      </c>
    </row>
    <row r="86">
      <c r="A86" t="n">
        <v>81</v>
      </c>
      <c r="B86" t="inlineStr">
        <is>
          <t>95</t>
        </is>
      </c>
      <c r="C86" t="inlineStr">
        <is>
          <t>Arunachalam Palaniappan</t>
        </is>
      </c>
      <c r="D86" t="inlineStr">
        <is>
          <t>Accounts</t>
        </is>
      </c>
      <c r="E86" t="inlineStr">
        <is>
          <t>Team Manager</t>
        </is>
      </c>
      <c r="F86">
        <f>IF(OR('Department KPI Analytics'!$G$6="All", D86='Department KPI Analytics'!$G$6), 16, 0)</f>
        <v/>
      </c>
      <c r="G86">
        <f>SUMIFS(Raw_Attendance_Data!$S$2:$S$2, Raw_Attendance_Data!$B$2:$B$2, B86, Raw_Attendance_Data!$A$2:$A$2, 1)</f>
        <v/>
      </c>
      <c r="H86">
        <f>MAX(F86-G86, 0)</f>
        <v/>
      </c>
      <c r="I86">
        <f>IF(F86&gt;0, G86/F86, 0)</f>
        <v/>
      </c>
      <c r="J86">
        <f>COUNTIFS(Raw_Attendance_Data!$B$2:$B$2, B86, Raw_Attendance_Data!$A$2:$A$2, 1, Raw_Attendance_Data!$Q$2:$Q$2, 1)</f>
        <v/>
      </c>
      <c r="K86">
        <f>COUNTIFS(Raw_Attendance_Data!$B$2:$B$2, B86, Raw_Attendance_Data!$A$2:$A$2, 1)</f>
        <v/>
      </c>
      <c r="L86">
        <f>IF(K86&gt;0, J86/K86, 1.0)</f>
        <v/>
      </c>
    </row>
    <row r="87">
      <c r="A87" t="n">
        <v>82</v>
      </c>
      <c r="B87" t="inlineStr">
        <is>
          <t>96</t>
        </is>
      </c>
      <c r="C87" t="inlineStr">
        <is>
          <t>Umraniya Deep Ghanshyambhai</t>
        </is>
      </c>
      <c r="D87" t="inlineStr">
        <is>
          <t>QA</t>
        </is>
      </c>
      <c r="E87" t="inlineStr">
        <is>
          <t>Vinit Praful Karia</t>
        </is>
      </c>
      <c r="F87">
        <f>IF(OR('Department KPI Analytics'!$G$6="All", D87='Department KPI Analytics'!$G$6), 16, 0)</f>
        <v/>
      </c>
      <c r="G87">
        <f>SUMIFS(Raw_Attendance_Data!$S$2:$S$2, Raw_Attendance_Data!$B$2:$B$2, B87, Raw_Attendance_Data!$A$2:$A$2, 1)</f>
        <v/>
      </c>
      <c r="H87">
        <f>MAX(F87-G87, 0)</f>
        <v/>
      </c>
      <c r="I87">
        <f>IF(F87&gt;0, G87/F87, 0)</f>
        <v/>
      </c>
      <c r="J87">
        <f>COUNTIFS(Raw_Attendance_Data!$B$2:$B$2, B87, Raw_Attendance_Data!$A$2:$A$2, 1, Raw_Attendance_Data!$Q$2:$Q$2, 1)</f>
        <v/>
      </c>
      <c r="K87">
        <f>COUNTIFS(Raw_Attendance_Data!$B$2:$B$2, B87, Raw_Attendance_Data!$A$2:$A$2, 1)</f>
        <v/>
      </c>
      <c r="L87">
        <f>IF(K87&gt;0, J87/K87, 1.0)</f>
        <v/>
      </c>
    </row>
    <row r="88">
      <c r="A88" t="n">
        <v>83</v>
      </c>
      <c r="B88" t="inlineStr">
        <is>
          <t>97</t>
        </is>
      </c>
      <c r="C88" t="inlineStr">
        <is>
          <t>Pavithra Sivachandiran</t>
        </is>
      </c>
      <c r="D88" t="inlineStr">
        <is>
          <t>Purchase Castings</t>
        </is>
      </c>
      <c r="E88" t="inlineStr">
        <is>
          <t>R Rathina Kumar</t>
        </is>
      </c>
      <c r="F88">
        <f>IF(OR('Department KPI Analytics'!$G$6="All", D88='Department KPI Analytics'!$G$6), 16, 0)</f>
        <v/>
      </c>
      <c r="G88">
        <f>SUMIFS(Raw_Attendance_Data!$S$2:$S$2, Raw_Attendance_Data!$B$2:$B$2, B88, Raw_Attendance_Data!$A$2:$A$2, 1)</f>
        <v/>
      </c>
      <c r="H88">
        <f>MAX(F88-G88, 0)</f>
        <v/>
      </c>
      <c r="I88">
        <f>IF(F88&gt;0, G88/F88, 0)</f>
        <v/>
      </c>
      <c r="J88">
        <f>COUNTIFS(Raw_Attendance_Data!$B$2:$B$2, B88, Raw_Attendance_Data!$A$2:$A$2, 1, Raw_Attendance_Data!$Q$2:$Q$2, 1)</f>
        <v/>
      </c>
      <c r="K88">
        <f>COUNTIFS(Raw_Attendance_Data!$B$2:$B$2, B88, Raw_Attendance_Data!$A$2:$A$2, 1)</f>
        <v/>
      </c>
      <c r="L88">
        <f>IF(K88&gt;0, J88/K88, 1.0)</f>
        <v/>
      </c>
    </row>
    <row r="89">
      <c r="A89" t="n">
        <v>84</v>
      </c>
      <c r="B89" t="inlineStr">
        <is>
          <t>98</t>
        </is>
      </c>
      <c r="C89" t="inlineStr">
        <is>
          <t>Sakthi Kumaravel</t>
        </is>
      </c>
      <c r="D89" t="inlineStr">
        <is>
          <t>QA</t>
        </is>
      </c>
      <c r="E89" t="inlineStr">
        <is>
          <t>Srinivasan Beeman</t>
        </is>
      </c>
      <c r="F89">
        <f>IF(OR('Department KPI Analytics'!$G$6="All", D89='Department KPI Analytics'!$G$6), 16, 0)</f>
        <v/>
      </c>
      <c r="G89">
        <f>SUMIFS(Raw_Attendance_Data!$S$2:$S$2, Raw_Attendance_Data!$B$2:$B$2, B89, Raw_Attendance_Data!$A$2:$A$2, 1)</f>
        <v/>
      </c>
      <c r="H89">
        <f>MAX(F89-G89, 0)</f>
        <v/>
      </c>
      <c r="I89">
        <f>IF(F89&gt;0, G89/F89, 0)</f>
        <v/>
      </c>
      <c r="J89">
        <f>COUNTIFS(Raw_Attendance_Data!$B$2:$B$2, B89, Raw_Attendance_Data!$A$2:$A$2, 1, Raw_Attendance_Data!$Q$2:$Q$2, 1)</f>
        <v/>
      </c>
      <c r="K89">
        <f>COUNTIFS(Raw_Attendance_Data!$B$2:$B$2, B89, Raw_Attendance_Data!$A$2:$A$2, 1)</f>
        <v/>
      </c>
      <c r="L89">
        <f>IF(K89&gt;0, J89/K89, 1.0)</f>
        <v/>
      </c>
    </row>
    <row r="90">
      <c r="A90" t="n">
        <v>85</v>
      </c>
      <c r="B90" t="inlineStr">
        <is>
          <t>DUMMY-PRAKASH</t>
        </is>
      </c>
      <c r="C90" t="inlineStr">
        <is>
          <t>Prakash Padukhone Muthiah</t>
        </is>
      </c>
      <c r="D90" t="inlineStr">
        <is>
          <t>Operations</t>
        </is>
      </c>
      <c r="E90" t="inlineStr">
        <is>
          <t>Nitin R Patel</t>
        </is>
      </c>
      <c r="F90">
        <f>IF(OR('Department KPI Analytics'!$G$6="All", D90='Department KPI Analytics'!$G$6), 16, 0)</f>
        <v/>
      </c>
      <c r="G90">
        <f>SUMIFS(Raw_Attendance_Data!$S$2:$S$2, Raw_Attendance_Data!$B$2:$B$2, B90, Raw_Attendance_Data!$A$2:$A$2, 1)</f>
        <v/>
      </c>
      <c r="H90">
        <f>MAX(F90-G90, 0)</f>
        <v/>
      </c>
      <c r="I90">
        <f>IF(F90&gt;0, G90/F90, 0)</f>
        <v/>
      </c>
      <c r="J90">
        <f>COUNTIFS(Raw_Attendance_Data!$B$2:$B$2, B90, Raw_Attendance_Data!$A$2:$A$2, 1, Raw_Attendance_Data!$Q$2:$Q$2, 1)</f>
        <v/>
      </c>
      <c r="K90">
        <f>COUNTIFS(Raw_Attendance_Data!$B$2:$B$2, B90, Raw_Attendance_Data!$A$2:$A$2, 1)</f>
        <v/>
      </c>
      <c r="L90">
        <f>IF(K90&gt;0, J90/K90, 1.0)</f>
        <v/>
      </c>
    </row>
    <row r="91">
      <c r="A91" t="n">
        <v>86</v>
      </c>
      <c r="B91" t="inlineStr">
        <is>
          <t>MGR001</t>
        </is>
      </c>
      <c r="C91" t="inlineStr">
        <is>
          <t>Team Manager</t>
        </is>
      </c>
      <c r="D91" t="inlineStr">
        <is>
          <t>Management</t>
        </is>
      </c>
      <c r="E91" t="inlineStr"/>
      <c r="F91">
        <f>IF(OR('Department KPI Analytics'!$G$6="All", D91='Department KPI Analytics'!$G$6), 16, 0)</f>
        <v/>
      </c>
      <c r="G91">
        <f>SUMIFS(Raw_Attendance_Data!$S$2:$S$2, Raw_Attendance_Data!$B$2:$B$2, B91, Raw_Attendance_Data!$A$2:$A$2, 1)</f>
        <v/>
      </c>
      <c r="H91">
        <f>MAX(F91-G91, 0)</f>
        <v/>
      </c>
      <c r="I91">
        <f>IF(F91&gt;0, G91/F91, 0)</f>
        <v/>
      </c>
      <c r="J91">
        <f>COUNTIFS(Raw_Attendance_Data!$B$2:$B$2, B91, Raw_Attendance_Data!$A$2:$A$2, 1, Raw_Attendance_Data!$Q$2:$Q$2, 1)</f>
        <v/>
      </c>
      <c r="K91">
        <f>COUNTIFS(Raw_Attendance_Data!$B$2:$B$2, B91, Raw_Attendance_Data!$A$2:$A$2, 1)</f>
        <v/>
      </c>
      <c r="L91">
        <f>IF(K91&gt;0, J91/K91, 1.0)</f>
        <v/>
      </c>
    </row>
    <row r="92">
      <c r="A92" t="n">
        <v>87</v>
      </c>
      <c r="B92" t="inlineStr">
        <is>
          <t>SGS-KET</t>
        </is>
      </c>
      <c r="C92" t="inlineStr">
        <is>
          <t>Ketan BC</t>
        </is>
      </c>
      <c r="D92" t="inlineStr">
        <is>
          <t>Management</t>
        </is>
      </c>
      <c r="E92" t="inlineStr">
        <is>
          <t>Team Manager</t>
        </is>
      </c>
      <c r="F92">
        <f>IF(OR('Department KPI Analytics'!$G$6="All", D92='Department KPI Analytics'!$G$6), 16, 0)</f>
        <v/>
      </c>
      <c r="G92">
        <f>SUMIFS(Raw_Attendance_Data!$S$2:$S$2, Raw_Attendance_Data!$B$2:$B$2, B92, Raw_Attendance_Data!$A$2:$A$2, 1)</f>
        <v/>
      </c>
      <c r="H92">
        <f>MAX(F92-G92, 0)</f>
        <v/>
      </c>
      <c r="I92">
        <f>IF(F92&gt;0, G92/F92, 0)</f>
        <v/>
      </c>
      <c r="J92">
        <f>COUNTIFS(Raw_Attendance_Data!$B$2:$B$2, B92, Raw_Attendance_Data!$A$2:$A$2, 1, Raw_Attendance_Data!$Q$2:$Q$2, 1)</f>
        <v/>
      </c>
      <c r="K92">
        <f>COUNTIFS(Raw_Attendance_Data!$B$2:$B$2, B92, Raw_Attendance_Data!$A$2:$A$2, 1)</f>
        <v/>
      </c>
      <c r="L92">
        <f>IF(K92&gt;0, J92/K92, 1.0)</f>
        <v/>
      </c>
    </row>
    <row r="93">
      <c r="A93" t="n">
        <v>88</v>
      </c>
      <c r="B93" t="inlineStr">
        <is>
          <t>SGS-NIT</t>
        </is>
      </c>
      <c r="C93" t="inlineStr">
        <is>
          <t>Nitin R Patel</t>
        </is>
      </c>
      <c r="D93" t="inlineStr">
        <is>
          <t>Management</t>
        </is>
      </c>
      <c r="E93" t="inlineStr">
        <is>
          <t>Team Manager</t>
        </is>
      </c>
      <c r="F93">
        <f>IF(OR('Department KPI Analytics'!$G$6="All", D93='Department KPI Analytics'!$G$6), 16, 0)</f>
        <v/>
      </c>
      <c r="G93">
        <f>SUMIFS(Raw_Attendance_Data!$S$2:$S$2, Raw_Attendance_Data!$B$2:$B$2, B93, Raw_Attendance_Data!$A$2:$A$2, 1)</f>
        <v/>
      </c>
      <c r="H93">
        <f>MAX(F93-G93, 0)</f>
        <v/>
      </c>
      <c r="I93">
        <f>IF(F93&gt;0, G93/F93, 0)</f>
        <v/>
      </c>
      <c r="J93">
        <f>COUNTIFS(Raw_Attendance_Data!$B$2:$B$2, B93, Raw_Attendance_Data!$A$2:$A$2, 1, Raw_Attendance_Data!$Q$2:$Q$2, 1)</f>
        <v/>
      </c>
      <c r="K93">
        <f>COUNTIFS(Raw_Attendance_Data!$B$2:$B$2, B93, Raw_Attendance_Data!$A$2:$A$2, 1)</f>
        <v/>
      </c>
      <c r="L93">
        <f>IF(K93&gt;0, J93/K93, 1.0)</f>
        <v/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Years</t>
        </is>
      </c>
      <c r="B1" t="inlineStr">
        <is>
          <t>Quarters</t>
        </is>
      </c>
      <c r="C1" t="inlineStr">
        <is>
          <t>Months</t>
        </is>
      </c>
      <c r="D1" t="inlineStr">
        <is>
          <t>Departments</t>
        </is>
      </c>
      <c r="E1" t="inlineStr">
        <is>
          <t>Categories</t>
        </is>
      </c>
      <c r="F1" t="inlineStr">
        <is>
          <t>Managers</t>
        </is>
      </c>
      <c r="G1" t="inlineStr">
        <is>
          <t>Training Types</t>
        </is>
      </c>
    </row>
    <row r="2">
      <c r="A2" t="inlineStr">
        <is>
          <t>All</t>
        </is>
      </c>
      <c r="B2" t="inlineStr">
        <is>
          <t>All</t>
        </is>
      </c>
      <c r="C2" t="inlineStr">
        <is>
          <t>All</t>
        </is>
      </c>
      <c r="D2" t="inlineStr">
        <is>
          <t>All</t>
        </is>
      </c>
      <c r="E2" t="inlineStr">
        <is>
          <t>All</t>
        </is>
      </c>
      <c r="F2" t="inlineStr">
        <is>
          <t>All</t>
        </is>
      </c>
      <c r="G2" t="inlineStr">
        <is>
          <t>All</t>
        </is>
      </c>
    </row>
    <row r="3">
      <c r="A3" t="inlineStr">
        <is>
          <t>2025-2026</t>
        </is>
      </c>
      <c r="B3" t="inlineStr">
        <is>
          <t>Q1</t>
        </is>
      </c>
      <c r="C3" t="inlineStr">
        <is>
          <t>April</t>
        </is>
      </c>
      <c r="D3" t="inlineStr">
        <is>
          <t>Accounts</t>
        </is>
      </c>
      <c r="E3" t="inlineStr">
        <is>
          <t>Compliance &amp; Safety</t>
        </is>
      </c>
      <c r="F3" t="inlineStr">
        <is>
          <t>Anil Kumar Joshi</t>
        </is>
      </c>
      <c r="G3" t="inlineStr">
        <is>
          <t>INTERNAL</t>
        </is>
      </c>
    </row>
    <row r="4">
      <c r="B4" t="inlineStr">
        <is>
          <t>Q2</t>
        </is>
      </c>
      <c r="C4" t="inlineStr">
        <is>
          <t>May</t>
        </is>
      </c>
      <c r="D4" t="inlineStr">
        <is>
          <t>Casting</t>
        </is>
      </c>
      <c r="E4" t="inlineStr">
        <is>
          <t>Finance &amp; Accounting</t>
        </is>
      </c>
      <c r="F4" t="inlineStr">
        <is>
          <t>Arunachalam Palaniappan</t>
        </is>
      </c>
      <c r="G4" t="inlineStr">
        <is>
          <t>EXTERNAL</t>
        </is>
      </c>
    </row>
    <row r="5">
      <c r="B5" t="inlineStr">
        <is>
          <t>Q3</t>
        </is>
      </c>
      <c r="C5" t="inlineStr">
        <is>
          <t>June</t>
        </is>
      </c>
      <c r="D5" t="inlineStr">
        <is>
          <t>Commercial</t>
        </is>
      </c>
      <c r="E5" t="inlineStr">
        <is>
          <t>HR &amp; People</t>
        </is>
      </c>
      <c r="F5" t="inlineStr">
        <is>
          <t>Harsora Rajan Bakulbhai</t>
        </is>
      </c>
      <c r="G5" t="inlineStr">
        <is>
          <t>ONLINE</t>
        </is>
      </c>
    </row>
    <row r="6">
      <c r="B6" t="inlineStr">
        <is>
          <t>Q4</t>
        </is>
      </c>
      <c r="C6" t="inlineStr">
        <is>
          <t>July</t>
        </is>
      </c>
      <c r="D6" t="inlineStr">
        <is>
          <t>CRM</t>
        </is>
      </c>
      <c r="E6" t="inlineStr">
        <is>
          <t>Leadership &amp; Management</t>
        </is>
      </c>
      <c r="F6" t="inlineStr">
        <is>
          <t>Ketan BC</t>
        </is>
      </c>
      <c r="G6" t="inlineStr">
        <is>
          <t>WORKSHOP</t>
        </is>
      </c>
    </row>
    <row r="7">
      <c r="C7" t="inlineStr">
        <is>
          <t>August</t>
        </is>
      </c>
      <c r="D7" t="inlineStr">
        <is>
          <t>Driver</t>
        </is>
      </c>
      <c r="E7" t="inlineStr">
        <is>
          <t>Product &amp; Domain</t>
        </is>
      </c>
      <c r="F7" t="inlineStr">
        <is>
          <t>Manasa R</t>
        </is>
      </c>
      <c r="G7" t="inlineStr">
        <is>
          <t>CERTIFICATION</t>
        </is>
      </c>
    </row>
    <row r="8">
      <c r="C8" t="inlineStr">
        <is>
          <t>September</t>
        </is>
      </c>
      <c r="D8" t="inlineStr">
        <is>
          <t>HR</t>
        </is>
      </c>
      <c r="E8" t="inlineStr">
        <is>
          <t>Sales &amp; Customer Service</t>
        </is>
      </c>
      <c r="F8" t="inlineStr">
        <is>
          <t>Naveenkumar M</t>
        </is>
      </c>
    </row>
    <row r="9">
      <c r="C9" t="inlineStr">
        <is>
          <t>October</t>
        </is>
      </c>
      <c r="D9" t="inlineStr">
        <is>
          <t>IT Support</t>
        </is>
      </c>
      <c r="E9" t="inlineStr">
        <is>
          <t>Soft Skills</t>
        </is>
      </c>
      <c r="F9" t="inlineStr">
        <is>
          <t>Nethaji Raja</t>
        </is>
      </c>
    </row>
    <row r="10">
      <c r="C10" t="inlineStr">
        <is>
          <t>November</t>
        </is>
      </c>
      <c r="D10" t="inlineStr">
        <is>
          <t>Maintenance</t>
        </is>
      </c>
      <c r="E10" t="inlineStr">
        <is>
          <t>Technical Skills</t>
        </is>
      </c>
      <c r="F10" t="inlineStr">
        <is>
          <t>Nitin R Patel</t>
        </is>
      </c>
    </row>
    <row r="11">
      <c r="C11" t="inlineStr">
        <is>
          <t>December</t>
        </is>
      </c>
      <c r="D11" t="inlineStr">
        <is>
          <t>Management</t>
        </is>
      </c>
      <c r="F11" t="inlineStr">
        <is>
          <t>Prakash Padukhone Muthiah</t>
        </is>
      </c>
    </row>
    <row r="12">
      <c r="C12" t="inlineStr">
        <is>
          <t>January</t>
        </is>
      </c>
      <c r="D12" t="inlineStr">
        <is>
          <t>Marketing</t>
        </is>
      </c>
      <c r="F12" t="inlineStr">
        <is>
          <t>R Rathina Kumar</t>
        </is>
      </c>
    </row>
    <row r="13">
      <c r="C13" t="inlineStr">
        <is>
          <t>February</t>
        </is>
      </c>
      <c r="D13" t="inlineStr">
        <is>
          <t>NPD</t>
        </is>
      </c>
      <c r="F13" t="inlineStr">
        <is>
          <t>Rajeshwari Ganeshkumar</t>
        </is>
      </c>
    </row>
    <row r="14">
      <c r="C14" t="inlineStr">
        <is>
          <t>March</t>
        </is>
      </c>
      <c r="D14" t="inlineStr">
        <is>
          <t>Operations</t>
        </is>
      </c>
      <c r="F14" t="inlineStr">
        <is>
          <t>Sakthivel Muthu</t>
        </is>
      </c>
    </row>
    <row r="15">
      <c r="D15" t="inlineStr">
        <is>
          <t>Purchase Castings</t>
        </is>
      </c>
      <c r="F15" t="inlineStr">
        <is>
          <t>Sakthivel Muthu</t>
        </is>
      </c>
    </row>
    <row r="16">
      <c r="D16" t="inlineStr">
        <is>
          <t>QA</t>
        </is>
      </c>
      <c r="F16" t="inlineStr">
        <is>
          <t>Srinivasan Beeman</t>
        </is>
      </c>
    </row>
    <row r="17">
      <c r="D17" t="inlineStr">
        <is>
          <t>RFQ</t>
        </is>
      </c>
      <c r="F17" t="inlineStr">
        <is>
          <t>Sundaravel S</t>
        </is>
      </c>
    </row>
    <row r="18">
      <c r="D18" t="inlineStr">
        <is>
          <t>Sourcing</t>
        </is>
      </c>
      <c r="F18" t="inlineStr">
        <is>
          <t>Swetha Swetha</t>
        </is>
      </c>
    </row>
    <row r="19">
      <c r="D19" t="inlineStr">
        <is>
          <t>Stores</t>
        </is>
      </c>
      <c r="F19" t="inlineStr">
        <is>
          <t>Team Manager</t>
        </is>
      </c>
    </row>
    <row r="20">
      <c r="F20" t="inlineStr">
        <is>
          <t>Vinit Praful Karia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2026-06-13T10:20:41Z</dcterms:created>
  <dcterms:modified xmlns:dcterms="http://purl.org/dc/terms/" xmlns:xsi="http://www.w3.org/2001/XMLSchema-instance" xsi:type="dcterms:W3CDTF">2026-06-13T10:20:44Z</dcterms:modified>
</cp:coreProperties>
</file>